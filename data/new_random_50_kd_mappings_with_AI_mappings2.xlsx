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ikah/Documents/NICE /"/>
    </mc:Choice>
  </mc:AlternateContent>
  <xr:revisionPtr revIDLastSave="0" documentId="13_ncr:1_{7774BFEA-6D6C-7C4E-A691-778FAA52413A}" xr6:coauthVersionLast="47" xr6:coauthVersionMax="47" xr10:uidLastSave="{00000000-0000-0000-0000-000000000000}"/>
  <bookViews>
    <workbookView xWindow="11260" yWindow="740" windowWidth="18060" windowHeight="17280" activeTab="4" xr2:uid="{49E09987-552E-D042-9BF5-52CC25AC1DE4}"/>
  </bookViews>
  <sheets>
    <sheet name="KD Mappings" sheetId="1" r:id="rId1"/>
    <sheet name="Picture" sheetId="6" r:id="rId2"/>
    <sheet name="Sara Mappings" sheetId="3" r:id="rId3"/>
    <sheet name="Info" sheetId="2" r:id="rId4"/>
    <sheet name="SSGDD study" sheetId="9" r:id="rId5"/>
    <sheet name="KA Essentials" sheetId="7" r:id="rId6"/>
    <sheet name="Valtteri Mappings" sheetId="4" r:id="rId7"/>
    <sheet name="Paul Mappings" sheetId="5" r:id="rId8"/>
    <sheet name="Girls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9" l="1"/>
  <c r="C37" i="9"/>
  <c r="B37" i="9"/>
  <c r="B24" i="9"/>
  <c r="C24" i="9"/>
  <c r="D24" i="9"/>
  <c r="B25" i="9"/>
  <c r="C25" i="9"/>
  <c r="D25" i="9"/>
  <c r="B26" i="9"/>
  <c r="C26" i="9"/>
  <c r="D26" i="9"/>
  <c r="B27" i="9"/>
  <c r="C27" i="9"/>
  <c r="D27" i="9"/>
  <c r="B28" i="9"/>
  <c r="C28" i="9"/>
  <c r="D28" i="9"/>
  <c r="B29" i="9"/>
  <c r="C29" i="9"/>
  <c r="D29" i="9"/>
  <c r="B30" i="9"/>
  <c r="C30" i="9"/>
  <c r="D30" i="9"/>
  <c r="B31" i="9"/>
  <c r="C31" i="9"/>
  <c r="D31" i="9"/>
  <c r="B32" i="9"/>
  <c r="C32" i="9"/>
  <c r="D32" i="9"/>
  <c r="B33" i="9"/>
  <c r="C33" i="9"/>
  <c r="D33" i="9"/>
  <c r="B34" i="9"/>
  <c r="C34" i="9"/>
  <c r="D34" i="9"/>
  <c r="B35" i="9"/>
  <c r="C35" i="9"/>
  <c r="D35" i="9"/>
  <c r="B36" i="9"/>
  <c r="C36" i="9"/>
  <c r="D36" i="9"/>
  <c r="B3" i="9"/>
  <c r="C3" i="9"/>
  <c r="D3" i="9"/>
  <c r="B4" i="9"/>
  <c r="C4" i="9"/>
  <c r="D4" i="9"/>
  <c r="B5" i="9"/>
  <c r="C5" i="9"/>
  <c r="D5" i="9"/>
  <c r="B6" i="9"/>
  <c r="C6" i="9"/>
  <c r="D6" i="9"/>
  <c r="B7" i="9"/>
  <c r="C7" i="9"/>
  <c r="D7" i="9"/>
  <c r="B8" i="9"/>
  <c r="C8" i="9"/>
  <c r="D8" i="9"/>
  <c r="B9" i="9"/>
  <c r="C9" i="9"/>
  <c r="D9" i="9"/>
  <c r="B10" i="9"/>
  <c r="C10" i="9"/>
  <c r="D10" i="9"/>
  <c r="B11" i="9"/>
  <c r="C11" i="9"/>
  <c r="D11" i="9"/>
  <c r="B12" i="9"/>
  <c r="C12" i="9"/>
  <c r="D12" i="9"/>
  <c r="B13" i="9"/>
  <c r="C13" i="9"/>
  <c r="D13" i="9"/>
  <c r="B14" i="9"/>
  <c r="C14" i="9"/>
  <c r="D14" i="9"/>
  <c r="B15" i="9"/>
  <c r="C15" i="9"/>
  <c r="D15" i="9"/>
  <c r="B16" i="9"/>
  <c r="C16" i="9"/>
  <c r="D16" i="9"/>
  <c r="B17" i="9"/>
  <c r="C17" i="9"/>
  <c r="D17" i="9"/>
  <c r="B18" i="9"/>
  <c r="C18" i="9"/>
  <c r="D18" i="9"/>
  <c r="B19" i="9"/>
  <c r="C19" i="9"/>
  <c r="D19" i="9"/>
  <c r="B20" i="9"/>
  <c r="C20" i="9"/>
  <c r="D20" i="9"/>
  <c r="B21" i="9"/>
  <c r="C21" i="9"/>
  <c r="D21" i="9"/>
  <c r="B22" i="9"/>
  <c r="C22" i="9"/>
  <c r="D22" i="9"/>
  <c r="B23" i="9"/>
  <c r="C23" i="9"/>
  <c r="D23" i="9"/>
  <c r="D2" i="9"/>
  <c r="C2" i="9"/>
  <c r="B2" i="9"/>
  <c r="B18" i="8"/>
  <c r="B56" i="1"/>
  <c r="E37" i="9" a="1"/>
  <c r="G37" i="9" a="1"/>
  <c r="F37" i="9" a="1"/>
  <c r="F24" i="9" a="1"/>
  <c r="F26" i="9" a="1"/>
  <c r="F28" i="9" a="1"/>
  <c r="F30" i="9" a="1"/>
  <c r="F32" i="9" a="1"/>
  <c r="F34" i="9" a="1"/>
  <c r="F36" i="9" a="1"/>
  <c r="F27" i="9" a="1"/>
  <c r="F35" i="9" a="1"/>
  <c r="G25" i="9" a="1"/>
  <c r="G35" i="9" a="1"/>
  <c r="G26" i="9" a="1"/>
  <c r="G32" i="9" a="1"/>
  <c r="G36" i="9" a="1"/>
  <c r="F25" i="9" a="1"/>
  <c r="F33" i="9" a="1"/>
  <c r="G27" i="9" a="1"/>
  <c r="G33" i="9" a="1"/>
  <c r="G24" i="9" a="1"/>
  <c r="G28" i="9" a="1"/>
  <c r="G30" i="9" a="1"/>
  <c r="G34" i="9" a="1"/>
  <c r="F29" i="9" a="1"/>
  <c r="F31" i="9" a="1"/>
  <c r="G29" i="9" a="1"/>
  <c r="G31" i="9" a="1"/>
  <c r="F3" i="9" a="1"/>
  <c r="F5" i="9" a="1"/>
  <c r="F7" i="9" a="1"/>
  <c r="F9" i="9" a="1"/>
  <c r="F11" i="9" a="1"/>
  <c r="G3" i="9" a="1"/>
  <c r="G13" i="9" a="1"/>
  <c r="G17" i="9" a="1"/>
  <c r="G21" i="9" a="1"/>
  <c r="F4" i="9" a="1"/>
  <c r="F8" i="9" a="1"/>
  <c r="F12" i="9" a="1"/>
  <c r="F16" i="9" a="1"/>
  <c r="F22" i="9" a="1"/>
  <c r="G6" i="9" a="1"/>
  <c r="G10" i="9" a="1"/>
  <c r="G14" i="9" a="1"/>
  <c r="G18" i="9" a="1"/>
  <c r="G22" i="9" a="1"/>
  <c r="F13" i="9" a="1"/>
  <c r="G5" i="9" a="1"/>
  <c r="G7" i="9" a="1"/>
  <c r="G9" i="9" a="1"/>
  <c r="G11" i="9" a="1"/>
  <c r="G15" i="9" a="1"/>
  <c r="G19" i="9" a="1"/>
  <c r="G23" i="9" a="1"/>
  <c r="F6" i="9" a="1"/>
  <c r="F10" i="9" a="1"/>
  <c r="F14" i="9" a="1"/>
  <c r="F18" i="9" a="1"/>
  <c r="F20" i="9" a="1"/>
  <c r="G4" i="9" a="1"/>
  <c r="G8" i="9" a="1"/>
  <c r="G12" i="9" a="1"/>
  <c r="G16" i="9" a="1"/>
  <c r="G20" i="9" a="1"/>
  <c r="F15" i="9" a="1"/>
  <c r="F17" i="9" a="1"/>
  <c r="F19" i="9" a="1"/>
  <c r="F21" i="9" a="1"/>
  <c r="F23" i="9" a="1"/>
  <c r="G2" i="9" a="1"/>
  <c r="F2" i="9" a="1"/>
  <c r="E2" i="9" a="1"/>
  <c r="E32" i="9" a="1"/>
  <c r="E36" i="9" a="1"/>
  <c r="E24" i="9" a="1"/>
  <c r="E34" i="9" a="1"/>
  <c r="E28" i="9" a="1"/>
  <c r="E29" i="9" a="1"/>
  <c r="E26" i="9" a="1"/>
  <c r="E31" i="9" a="1"/>
  <c r="E27" i="9" a="1"/>
  <c r="E35" i="9" a="1"/>
  <c r="E30" i="9" a="1"/>
  <c r="E25" i="9" a="1"/>
  <c r="E33" i="9" a="1"/>
  <c r="E11" i="9" a="1"/>
  <c r="E8" i="9" a="1"/>
  <c r="E18" i="9" a="1"/>
  <c r="E19" i="9" a="1"/>
  <c r="E16" i="9" a="1"/>
  <c r="E13" i="9" a="1"/>
  <c r="E10" i="9" a="1"/>
  <c r="E3" i="9" a="1"/>
  <c r="E5" i="9" a="1"/>
  <c r="E21" i="9" a="1"/>
  <c r="E7" i="9" a="1"/>
  <c r="E15" i="9" a="1"/>
  <c r="E23" i="9" a="1"/>
  <c r="E6" i="9" a="1"/>
  <c r="E22" i="9" a="1"/>
  <c r="E4" i="9" a="1"/>
  <c r="E14" i="9" a="1"/>
  <c r="E17" i="9" a="1"/>
  <c r="E20" i="9" a="1"/>
  <c r="E9" i="9" a="1"/>
  <c r="E12" i="9" a="1"/>
  <c r="F37" i="9" l="1"/>
  <c r="G37" i="9"/>
  <c r="E37" i="9"/>
  <c r="G31" i="9"/>
  <c r="G29" i="9"/>
  <c r="F31" i="9"/>
  <c r="F29" i="9"/>
  <c r="G34" i="9"/>
  <c r="G30" i="9"/>
  <c r="G28" i="9"/>
  <c r="G24" i="9"/>
  <c r="G33" i="9"/>
  <c r="G27" i="9"/>
  <c r="F33" i="9"/>
  <c r="F25" i="9"/>
  <c r="G36" i="9"/>
  <c r="G32" i="9"/>
  <c r="G26" i="9"/>
  <c r="G35" i="9"/>
  <c r="G25" i="9"/>
  <c r="F35" i="9"/>
  <c r="F27" i="9"/>
  <c r="F36" i="9"/>
  <c r="F34" i="9"/>
  <c r="F32" i="9"/>
  <c r="F30" i="9"/>
  <c r="F28" i="9"/>
  <c r="F26" i="9"/>
  <c r="F24" i="9"/>
  <c r="F23" i="9"/>
  <c r="F21" i="9"/>
  <c r="F19" i="9"/>
  <c r="F17" i="9"/>
  <c r="F15" i="9"/>
  <c r="G20" i="9"/>
  <c r="G16" i="9"/>
  <c r="G12" i="9"/>
  <c r="G8" i="9"/>
  <c r="G4" i="9"/>
  <c r="F20" i="9"/>
  <c r="F18" i="9"/>
  <c r="F14" i="9"/>
  <c r="F10" i="9"/>
  <c r="F6" i="9"/>
  <c r="G23" i="9"/>
  <c r="G19" i="9"/>
  <c r="G15" i="9"/>
  <c r="G11" i="9"/>
  <c r="G9" i="9"/>
  <c r="G7" i="9"/>
  <c r="G5" i="9"/>
  <c r="F13" i="9"/>
  <c r="G22" i="9"/>
  <c r="G18" i="9"/>
  <c r="G14" i="9"/>
  <c r="G10" i="9"/>
  <c r="G6" i="9"/>
  <c r="F22" i="9"/>
  <c r="F16" i="9"/>
  <c r="F12" i="9"/>
  <c r="F8" i="9"/>
  <c r="F4" i="9"/>
  <c r="G21" i="9"/>
  <c r="G17" i="9"/>
  <c r="G13" i="9"/>
  <c r="G3" i="9"/>
  <c r="F11" i="9"/>
  <c r="F9" i="9"/>
  <c r="F7" i="9"/>
  <c r="F5" i="9"/>
  <c r="F3" i="9"/>
  <c r="G2" i="9"/>
  <c r="F2" i="9"/>
  <c r="E2" i="9"/>
  <c r="E33" i="9"/>
  <c r="E25" i="9"/>
  <c r="E30" i="9"/>
  <c r="E35" i="9"/>
  <c r="E27" i="9"/>
  <c r="E31" i="9"/>
  <c r="E26" i="9"/>
  <c r="E29" i="9"/>
  <c r="E28" i="9"/>
  <c r="E34" i="9"/>
  <c r="E24" i="9"/>
  <c r="E36" i="9"/>
  <c r="E32" i="9"/>
  <c r="E12" i="9"/>
  <c r="E9" i="9"/>
  <c r="E20" i="9"/>
  <c r="E17" i="9"/>
  <c r="E14" i="9"/>
  <c r="E4" i="9"/>
  <c r="E22" i="9"/>
  <c r="E6" i="9"/>
  <c r="E23" i="9"/>
  <c r="E15" i="9"/>
  <c r="E7" i="9"/>
  <c r="E21" i="9"/>
  <c r="E5" i="9"/>
  <c r="E3" i="9"/>
  <c r="E10" i="9"/>
  <c r="E13" i="9"/>
  <c r="E16" i="9"/>
  <c r="E19" i="9"/>
  <c r="E18" i="9"/>
  <c r="E8" i="9"/>
  <c r="E11" i="9"/>
  <c r="L10" i="1"/>
  <c r="E54" i="1"/>
  <c r="D54" i="1"/>
  <c r="H5" i="1"/>
  <c r="K12" i="1"/>
  <c r="L12" i="1"/>
  <c r="K13" i="1"/>
  <c r="W13" i="1" s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X25" i="1" s="1" a="1"/>
  <c r="X25" i="1" s="1"/>
  <c r="L25" i="1"/>
  <c r="K26" i="1"/>
  <c r="L26" i="1"/>
  <c r="K27" i="1"/>
  <c r="X27" i="1" s="1" a="1"/>
  <c r="X27" i="1" s="1"/>
  <c r="L27" i="1"/>
  <c r="K28" i="1"/>
  <c r="X28" i="1" s="1" a="1"/>
  <c r="X28" i="1" s="1"/>
  <c r="L28" i="1"/>
  <c r="K29" i="1"/>
  <c r="X29" i="1" s="1" a="1"/>
  <c r="X29" i="1" s="1"/>
  <c r="L29" i="1"/>
  <c r="K30" i="1"/>
  <c r="W30" i="1" s="1"/>
  <c r="L30" i="1"/>
  <c r="K31" i="1"/>
  <c r="W31" i="1" s="1"/>
  <c r="L31" i="1"/>
  <c r="K32" i="1"/>
  <c r="W32" i="1" s="1"/>
  <c r="L32" i="1"/>
  <c r="K33" i="1"/>
  <c r="W33" i="1" s="1"/>
  <c r="L33" i="1"/>
  <c r="K34" i="1"/>
  <c r="W34" i="1" s="1"/>
  <c r="L34" i="1"/>
  <c r="K35" i="1"/>
  <c r="W35" i="1" s="1"/>
  <c r="L35" i="1"/>
  <c r="K36" i="1"/>
  <c r="L36" i="1"/>
  <c r="K37" i="1"/>
  <c r="W37" i="1" s="1"/>
  <c r="L37" i="1"/>
  <c r="K38" i="1"/>
  <c r="L38" i="1"/>
  <c r="K39" i="1"/>
  <c r="L39" i="1"/>
  <c r="K40" i="1"/>
  <c r="W40" i="1" s="1"/>
  <c r="L40" i="1"/>
  <c r="K41" i="1"/>
  <c r="X41" i="1" s="1" a="1"/>
  <c r="X41" i="1" s="1"/>
  <c r="L41" i="1"/>
  <c r="K42" i="1"/>
  <c r="L42" i="1"/>
  <c r="K43" i="1"/>
  <c r="L43" i="1"/>
  <c r="K44" i="1"/>
  <c r="L44" i="1"/>
  <c r="K45" i="1"/>
  <c r="W45" i="1" s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3" i="1"/>
  <c r="L3" i="1"/>
  <c r="K4" i="1"/>
  <c r="Y4" i="1" s="1"/>
  <c r="L4" i="1"/>
  <c r="K5" i="1"/>
  <c r="L5" i="1"/>
  <c r="K6" i="1"/>
  <c r="L6" i="1"/>
  <c r="K7" i="1"/>
  <c r="W7" i="1" s="1"/>
  <c r="L7" i="1"/>
  <c r="K8" i="1"/>
  <c r="X8" i="1" s="1" a="1"/>
  <c r="X8" i="1" s="1"/>
  <c r="L8" i="1"/>
  <c r="K9" i="1"/>
  <c r="L9" i="1"/>
  <c r="K10" i="1"/>
  <c r="K11" i="1"/>
  <c r="L11" i="1"/>
  <c r="L2" i="1"/>
  <c r="K2" i="1"/>
  <c r="W2" i="1" s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3" i="1"/>
  <c r="H4" i="1"/>
  <c r="H6" i="1"/>
  <c r="H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I3" i="1"/>
  <c r="Q3" i="1" s="1"/>
  <c r="I4" i="1"/>
  <c r="R4" i="1" s="1" a="1"/>
  <c r="R4" i="1" s="1"/>
  <c r="I5" i="1"/>
  <c r="Q5" i="1" s="1"/>
  <c r="I6" i="1"/>
  <c r="Q6" i="1" s="1"/>
  <c r="I7" i="1"/>
  <c r="R7" i="1" s="1" a="1"/>
  <c r="R7" i="1" s="1"/>
  <c r="I8" i="1"/>
  <c r="Q8" i="1" s="1"/>
  <c r="I9" i="1"/>
  <c r="Q9" i="1" s="1"/>
  <c r="I10" i="1"/>
  <c r="R10" i="1" s="1" a="1"/>
  <c r="R10" i="1" s="1"/>
  <c r="I11" i="1"/>
  <c r="Q11" i="1" s="1"/>
  <c r="I12" i="1"/>
  <c r="Q12" i="1" s="1"/>
  <c r="I13" i="1"/>
  <c r="Q13" i="1" s="1"/>
  <c r="I14" i="1"/>
  <c r="R14" i="1" s="1" a="1"/>
  <c r="R14" i="1" s="1"/>
  <c r="I15" i="1"/>
  <c r="Q15" i="1" s="1"/>
  <c r="I16" i="1"/>
  <c r="Q16" i="1" s="1"/>
  <c r="I17" i="1"/>
  <c r="Q17" i="1" s="1"/>
  <c r="I18" i="1"/>
  <c r="R18" i="1" s="1" a="1"/>
  <c r="R18" i="1" s="1"/>
  <c r="I19" i="1"/>
  <c r="Q19" i="1" s="1"/>
  <c r="I20" i="1"/>
  <c r="R20" i="1" s="1" a="1"/>
  <c r="R20" i="1" s="1"/>
  <c r="I21" i="1"/>
  <c r="I22" i="1"/>
  <c r="Q22" i="1" s="1"/>
  <c r="I23" i="1"/>
  <c r="R23" i="1" s="1" a="1"/>
  <c r="R23" i="1" s="1"/>
  <c r="I24" i="1"/>
  <c r="Q24" i="1" s="1"/>
  <c r="I25" i="1"/>
  <c r="Q25" i="1" s="1"/>
  <c r="I26" i="1"/>
  <c r="R26" i="1" s="1" a="1"/>
  <c r="R26" i="1" s="1"/>
  <c r="I27" i="1"/>
  <c r="Q27" i="1" s="1"/>
  <c r="I28" i="1"/>
  <c r="R28" i="1" s="1" a="1"/>
  <c r="R28" i="1" s="1"/>
  <c r="I29" i="1"/>
  <c r="R29" i="1" s="1" a="1"/>
  <c r="R29" i="1" s="1"/>
  <c r="I30" i="1"/>
  <c r="Q30" i="1" s="1"/>
  <c r="I31" i="1"/>
  <c r="R31" i="1" s="1" a="1"/>
  <c r="R31" i="1" s="1"/>
  <c r="I32" i="1"/>
  <c r="R32" i="1" s="1" a="1"/>
  <c r="R32" i="1" s="1"/>
  <c r="I33" i="1"/>
  <c r="Q33" i="1" s="1"/>
  <c r="I34" i="1"/>
  <c r="Q34" i="1" s="1"/>
  <c r="I35" i="1"/>
  <c r="R35" i="1" s="1" a="1"/>
  <c r="R35" i="1" s="1"/>
  <c r="I36" i="1"/>
  <c r="Q36" i="1" s="1"/>
  <c r="I37" i="1"/>
  <c r="R37" i="1" s="1" a="1"/>
  <c r="R37" i="1" s="1"/>
  <c r="I38" i="1"/>
  <c r="Q38" i="1" s="1"/>
  <c r="I39" i="1"/>
  <c r="Q39" i="1" s="1"/>
  <c r="I40" i="1"/>
  <c r="Q40" i="1" s="1"/>
  <c r="I41" i="1"/>
  <c r="Q41" i="1" s="1"/>
  <c r="I42" i="1"/>
  <c r="R42" i="1" s="1" a="1"/>
  <c r="R42" i="1" s="1"/>
  <c r="I43" i="1"/>
  <c r="Q43" i="1" s="1"/>
  <c r="I44" i="1"/>
  <c r="R44" i="1" s="1" a="1"/>
  <c r="R44" i="1" s="1"/>
  <c r="I45" i="1"/>
  <c r="R45" i="1" s="1" a="1"/>
  <c r="R45" i="1" s="1"/>
  <c r="I46" i="1"/>
  <c r="Q46" i="1" s="1"/>
  <c r="I47" i="1"/>
  <c r="R47" i="1" s="1" a="1"/>
  <c r="R47" i="1" s="1"/>
  <c r="I48" i="1"/>
  <c r="Q48" i="1" s="1"/>
  <c r="I49" i="1"/>
  <c r="R49" i="1" s="1" a="1"/>
  <c r="R49" i="1" s="1"/>
  <c r="I50" i="1"/>
  <c r="Q50" i="1" s="1"/>
  <c r="I51" i="1"/>
  <c r="Q51" i="1" s="1"/>
  <c r="I2" i="1"/>
  <c r="Q2" i="1" s="1"/>
  <c r="G3" i="1"/>
  <c r="S3" i="1" s="1"/>
  <c r="G4" i="1"/>
  <c r="S4" i="1" s="1"/>
  <c r="G5" i="1"/>
  <c r="T5" i="1" s="1" a="1"/>
  <c r="T5" i="1" s="1"/>
  <c r="G6" i="1"/>
  <c r="S6" i="1" s="1"/>
  <c r="G7" i="1"/>
  <c r="S7" i="1" s="1"/>
  <c r="G8" i="1"/>
  <c r="S8" i="1" s="1"/>
  <c r="G9" i="1"/>
  <c r="T9" i="1" s="1" a="1"/>
  <c r="T9" i="1" s="1"/>
  <c r="G10" i="1"/>
  <c r="S10" i="1" s="1"/>
  <c r="G11" i="1"/>
  <c r="S11" i="1" s="1"/>
  <c r="G12" i="1"/>
  <c r="T12" i="1" s="1" a="1"/>
  <c r="T12" i="1" s="1"/>
  <c r="G13" i="1"/>
  <c r="S13" i="1" s="1"/>
  <c r="G14" i="1"/>
  <c r="S14" i="1" s="1"/>
  <c r="G15" i="1"/>
  <c r="S15" i="1" s="1"/>
  <c r="G16" i="1"/>
  <c r="S16" i="1" s="1"/>
  <c r="G17" i="1"/>
  <c r="S17" i="1" s="1"/>
  <c r="G18" i="1"/>
  <c r="S18" i="1" s="1"/>
  <c r="G19" i="1"/>
  <c r="T19" i="1" s="1" a="1"/>
  <c r="T19" i="1" s="1"/>
  <c r="G20" i="1"/>
  <c r="S20" i="1" s="1"/>
  <c r="G21" i="1"/>
  <c r="T21" i="1" s="1" a="1"/>
  <c r="T21" i="1" s="1"/>
  <c r="G22" i="1"/>
  <c r="S22" i="1" s="1"/>
  <c r="G23" i="1"/>
  <c r="T23" i="1" s="1" a="1"/>
  <c r="T23" i="1" s="1"/>
  <c r="G24" i="1"/>
  <c r="S24" i="1" s="1"/>
  <c r="G25" i="1"/>
  <c r="S25" i="1" s="1"/>
  <c r="G26" i="1"/>
  <c r="T26" i="1" s="1" a="1"/>
  <c r="T26" i="1" s="1"/>
  <c r="G27" i="1"/>
  <c r="S27" i="1" s="1"/>
  <c r="G28" i="1"/>
  <c r="S28" i="1" s="1"/>
  <c r="G29" i="1"/>
  <c r="S29" i="1" s="1"/>
  <c r="G30" i="1"/>
  <c r="S30" i="1" s="1"/>
  <c r="G31" i="1"/>
  <c r="S31" i="1" s="1"/>
  <c r="G32" i="1"/>
  <c r="T32" i="1" s="1" a="1"/>
  <c r="T32" i="1" s="1"/>
  <c r="G33" i="1"/>
  <c r="S33" i="1" s="1"/>
  <c r="G34" i="1"/>
  <c r="T34" i="1" s="1" a="1"/>
  <c r="T34" i="1" s="1"/>
  <c r="G35" i="1"/>
  <c r="S35" i="1" s="1"/>
  <c r="G36" i="1"/>
  <c r="S36" i="1" s="1"/>
  <c r="G37" i="1"/>
  <c r="T37" i="1" s="1" a="1"/>
  <c r="T37" i="1" s="1"/>
  <c r="G38" i="1"/>
  <c r="S38" i="1" s="1"/>
  <c r="G39" i="1"/>
  <c r="T39" i="1" s="1" a="1"/>
  <c r="T39" i="1" s="1"/>
  <c r="G40" i="1"/>
  <c r="T40" i="1" s="1" a="1"/>
  <c r="T40" i="1" s="1"/>
  <c r="G41" i="1"/>
  <c r="S41" i="1" s="1"/>
  <c r="G42" i="1"/>
  <c r="S42" i="1" s="1"/>
  <c r="G43" i="1"/>
  <c r="T43" i="1" s="1" a="1"/>
  <c r="T43" i="1" s="1"/>
  <c r="G44" i="1"/>
  <c r="S44" i="1" s="1"/>
  <c r="G45" i="1"/>
  <c r="S45" i="1" s="1"/>
  <c r="G46" i="1"/>
  <c r="S46" i="1" s="1"/>
  <c r="G47" i="1"/>
  <c r="S47" i="1" s="1"/>
  <c r="G48" i="1"/>
  <c r="S48" i="1" s="1"/>
  <c r="G49" i="1"/>
  <c r="S49" i="1" s="1"/>
  <c r="G50" i="1"/>
  <c r="S50" i="1" s="1"/>
  <c r="G51" i="1"/>
  <c r="S51" i="1" s="1"/>
  <c r="G2" i="1"/>
  <c r="S2" i="1" s="1"/>
  <c r="Z3" i="1" l="1" a="1"/>
  <c r="Z3" i="1" s="1"/>
  <c r="Z48" i="1" a="1"/>
  <c r="Z48" i="1" s="1"/>
  <c r="Y24" i="1"/>
  <c r="Z16" i="1" a="1"/>
  <c r="Z16" i="1" s="1"/>
  <c r="V11" i="1" a="1"/>
  <c r="V11" i="1" s="1"/>
  <c r="V36" i="1" a="1"/>
  <c r="V36" i="1" s="1"/>
  <c r="Z21" i="1" a="1"/>
  <c r="Z21" i="1" s="1"/>
  <c r="U44" i="1"/>
  <c r="Y6" i="1"/>
  <c r="V47" i="1" a="1"/>
  <c r="V47" i="1" s="1"/>
  <c r="V48" i="1" a="1"/>
  <c r="V48" i="1" s="1"/>
  <c r="Y23" i="1"/>
  <c r="Y19" i="1"/>
  <c r="U15" i="1"/>
  <c r="X11" i="1" a="1"/>
  <c r="X11" i="1" s="1"/>
  <c r="Z4" i="1" a="1"/>
  <c r="Z4" i="1" s="1"/>
  <c r="X36" i="1" a="1"/>
  <c r="X36" i="1" s="1"/>
  <c r="U47" i="1"/>
  <c r="U43" i="1"/>
  <c r="V39" i="1" a="1"/>
  <c r="V39" i="1" s="1"/>
  <c r="X4" i="1" a="1"/>
  <c r="X4" i="1" s="1"/>
  <c r="X45" i="1" a="1"/>
  <c r="X45" i="1" s="1"/>
  <c r="X33" i="1" a="1"/>
  <c r="X33" i="1" s="1"/>
  <c r="U10" i="1"/>
  <c r="R12" i="1" a="1"/>
  <c r="R12" i="1" s="1"/>
  <c r="U9" i="1"/>
  <c r="Y5" i="1"/>
  <c r="Z50" i="1" a="1"/>
  <c r="Z50" i="1" s="1"/>
  <c r="Z46" i="1" a="1"/>
  <c r="Z46" i="1" s="1"/>
  <c r="U42" i="1"/>
  <c r="V38" i="1" a="1"/>
  <c r="V38" i="1" s="1"/>
  <c r="Y26" i="1"/>
  <c r="Y22" i="1"/>
  <c r="Z18" i="1" a="1"/>
  <c r="Z18" i="1" s="1"/>
  <c r="Z14" i="1" a="1"/>
  <c r="Z14" i="1" s="1"/>
  <c r="V10" i="1" a="1"/>
  <c r="V10" i="1" s="1"/>
  <c r="Y51" i="1"/>
  <c r="Z2" i="1" a="1"/>
  <c r="Z2" i="1" s="1"/>
  <c r="W8" i="1"/>
  <c r="U51" i="1"/>
  <c r="Z49" i="1" a="1"/>
  <c r="Z49" i="1" s="1"/>
  <c r="U45" i="1"/>
  <c r="U41" i="1"/>
  <c r="Z37" i="1" a="1"/>
  <c r="Z37" i="1" s="1"/>
  <c r="V33" i="1" a="1"/>
  <c r="V33" i="1" s="1"/>
  <c r="Y21" i="1"/>
  <c r="Z17" i="1" a="1"/>
  <c r="Z17" i="1" s="1"/>
  <c r="U13" i="1"/>
  <c r="V8" i="1" a="1"/>
  <c r="V8" i="1" s="1"/>
  <c r="X49" i="1" a="1"/>
  <c r="X49" i="1" s="1"/>
  <c r="W41" i="1"/>
  <c r="U49" i="1"/>
  <c r="U11" i="1"/>
  <c r="V7" i="1" a="1"/>
  <c r="V7" i="1" s="1"/>
  <c r="Y3" i="1"/>
  <c r="V40" i="1" a="1"/>
  <c r="V40" i="1" s="1"/>
  <c r="Y20" i="1"/>
  <c r="U12" i="1"/>
  <c r="U7" i="1"/>
  <c r="W48" i="1"/>
  <c r="X37" i="1" a="1"/>
  <c r="X37" i="1" s="1"/>
  <c r="Z11" i="1" a="1"/>
  <c r="Z11" i="1" s="1"/>
  <c r="Z10" i="1" a="1"/>
  <c r="Z10" i="1" s="1"/>
  <c r="Z9" i="1" a="1"/>
  <c r="Z9" i="1" s="1"/>
  <c r="Z8" i="1" a="1"/>
  <c r="Z8" i="1" s="1"/>
  <c r="Z7" i="1" a="1"/>
  <c r="Z7" i="1" s="1"/>
  <c r="X6" i="1" a="1"/>
  <c r="X6" i="1" s="1"/>
  <c r="X5" i="1" a="1"/>
  <c r="X5" i="1" s="1"/>
  <c r="X3" i="1" a="1"/>
  <c r="X3" i="1" s="1"/>
  <c r="Y50" i="1"/>
  <c r="Y49" i="1"/>
  <c r="Y48" i="1"/>
  <c r="Z47" i="1" a="1"/>
  <c r="Z47" i="1" s="1"/>
  <c r="Y46" i="1"/>
  <c r="Z45" i="1" a="1"/>
  <c r="Z45" i="1" s="1"/>
  <c r="Z44" i="1" a="1"/>
  <c r="Z44" i="1" s="1"/>
  <c r="Z43" i="1" a="1"/>
  <c r="Z43" i="1" s="1"/>
  <c r="U40" i="1"/>
  <c r="U39" i="1"/>
  <c r="U38" i="1"/>
  <c r="V37" i="1" a="1"/>
  <c r="V37" i="1" s="1"/>
  <c r="U36" i="1"/>
  <c r="V35" i="1" a="1"/>
  <c r="V35" i="1" s="1"/>
  <c r="V34" i="1" a="1"/>
  <c r="V34" i="1" s="1"/>
  <c r="W29" i="1"/>
  <c r="W28" i="1"/>
  <c r="W27" i="1"/>
  <c r="X26" i="1" a="1"/>
  <c r="X26" i="1" s="1"/>
  <c r="W25" i="1"/>
  <c r="X24" i="1" a="1"/>
  <c r="X24" i="1" s="1"/>
  <c r="X23" i="1" a="1"/>
  <c r="X23" i="1" s="1"/>
  <c r="X22" i="1" a="1"/>
  <c r="X22" i="1" s="1"/>
  <c r="Y18" i="1"/>
  <c r="Y17" i="1"/>
  <c r="Y16" i="1"/>
  <c r="Z15" i="1" a="1"/>
  <c r="Z15" i="1" s="1"/>
  <c r="Y14" i="1"/>
  <c r="Z13" i="1" a="1"/>
  <c r="Z13" i="1" s="1"/>
  <c r="Z12" i="1" a="1"/>
  <c r="Z12" i="1" s="1"/>
  <c r="V9" i="1" a="1"/>
  <c r="V9" i="1" s="1"/>
  <c r="U50" i="1"/>
  <c r="Y11" i="1"/>
  <c r="Y10" i="1"/>
  <c r="Y9" i="1"/>
  <c r="Y8" i="1"/>
  <c r="Y7" i="1"/>
  <c r="W6" i="1"/>
  <c r="W5" i="1"/>
  <c r="W3" i="1"/>
  <c r="X51" i="1" a="1"/>
  <c r="X51" i="1" s="1"/>
  <c r="Y47" i="1"/>
  <c r="Y45" i="1"/>
  <c r="Y44" i="1"/>
  <c r="Y43" i="1"/>
  <c r="Z42" i="1" a="1"/>
  <c r="Z42" i="1" s="1"/>
  <c r="Z41" i="1" a="1"/>
  <c r="Z41" i="1" s="1"/>
  <c r="Z40" i="1" a="1"/>
  <c r="Z40" i="1" s="1"/>
  <c r="Z38" i="1" a="1"/>
  <c r="Z38" i="1" s="1"/>
  <c r="U37" i="1"/>
  <c r="U35" i="1"/>
  <c r="U34" i="1"/>
  <c r="U33" i="1"/>
  <c r="V32" i="1" a="1"/>
  <c r="V32" i="1" s="1"/>
  <c r="V31" i="1" a="1"/>
  <c r="V31" i="1" s="1"/>
  <c r="V30" i="1" a="1"/>
  <c r="V30" i="1" s="1"/>
  <c r="V28" i="1" a="1"/>
  <c r="V28" i="1" s="1"/>
  <c r="W26" i="1"/>
  <c r="W24" i="1"/>
  <c r="W23" i="1"/>
  <c r="W22" i="1"/>
  <c r="X21" i="1" a="1"/>
  <c r="X21" i="1" s="1"/>
  <c r="X20" i="1" a="1"/>
  <c r="X20" i="1" s="1"/>
  <c r="X19" i="1" a="1"/>
  <c r="X19" i="1" s="1"/>
  <c r="X17" i="1" a="1"/>
  <c r="X17" i="1" s="1"/>
  <c r="Y15" i="1"/>
  <c r="Y13" i="1"/>
  <c r="Y12" i="1"/>
  <c r="U2" i="1"/>
  <c r="X9" i="1" a="1"/>
  <c r="X9" i="1" s="1"/>
  <c r="X7" i="1" a="1"/>
  <c r="X7" i="1" s="1"/>
  <c r="W4" i="1"/>
  <c r="W51" i="1"/>
  <c r="X50" i="1" a="1"/>
  <c r="X50" i="1" s="1"/>
  <c r="W49" i="1"/>
  <c r="X48" i="1" a="1"/>
  <c r="X48" i="1" s="1"/>
  <c r="X47" i="1" a="1"/>
  <c r="X47" i="1" s="1"/>
  <c r="X46" i="1" a="1"/>
  <c r="X46" i="1" s="1"/>
  <c r="Y42" i="1"/>
  <c r="Y41" i="1"/>
  <c r="Y40" i="1"/>
  <c r="Z39" i="1" a="1"/>
  <c r="Z39" i="1" s="1"/>
  <c r="Y38" i="1"/>
  <c r="Z36" i="1" a="1"/>
  <c r="Z36" i="1" s="1"/>
  <c r="Z35" i="1" a="1"/>
  <c r="Z35" i="1" s="1"/>
  <c r="U32" i="1"/>
  <c r="U31" i="1"/>
  <c r="U30" i="1"/>
  <c r="V29" i="1" a="1"/>
  <c r="V29" i="1" s="1"/>
  <c r="U28" i="1"/>
  <c r="V27" i="1" a="1"/>
  <c r="V27" i="1" s="1"/>
  <c r="V26" i="1" a="1"/>
  <c r="V26" i="1" s="1"/>
  <c r="V25" i="1" a="1"/>
  <c r="V25" i="1" s="1"/>
  <c r="W21" i="1"/>
  <c r="W20" i="1"/>
  <c r="W19" i="1"/>
  <c r="X18" i="1" a="1"/>
  <c r="X18" i="1" s="1"/>
  <c r="W17" i="1"/>
  <c r="X16" i="1" a="1"/>
  <c r="X16" i="1" s="1"/>
  <c r="X15" i="1" a="1"/>
  <c r="X15" i="1" s="1"/>
  <c r="X14" i="1" a="1"/>
  <c r="X14" i="1" s="1"/>
  <c r="Z5" i="1" a="1"/>
  <c r="Z5" i="1" s="1"/>
  <c r="X10" i="1" a="1"/>
  <c r="X10" i="1" s="1"/>
  <c r="W9" i="1"/>
  <c r="V6" i="1" a="1"/>
  <c r="V6" i="1" s="1"/>
  <c r="V5" i="1" a="1"/>
  <c r="V5" i="1" s="1"/>
  <c r="V4" i="1" a="1"/>
  <c r="V4" i="1" s="1"/>
  <c r="V3" i="1" a="1"/>
  <c r="V3" i="1" s="1"/>
  <c r="W50" i="1"/>
  <c r="W47" i="1"/>
  <c r="W46" i="1"/>
  <c r="X44" i="1" a="1"/>
  <c r="X44" i="1" s="1"/>
  <c r="X43" i="1" a="1"/>
  <c r="X43" i="1" s="1"/>
  <c r="Y39" i="1"/>
  <c r="Y37" i="1"/>
  <c r="Y36" i="1"/>
  <c r="Y35" i="1"/>
  <c r="Z34" i="1" a="1"/>
  <c r="Z34" i="1" s="1"/>
  <c r="Z33" i="1" a="1"/>
  <c r="Z33" i="1" s="1"/>
  <c r="Z32" i="1" a="1"/>
  <c r="Z32" i="1" s="1"/>
  <c r="Z30" i="1" a="1"/>
  <c r="Z30" i="1" s="1"/>
  <c r="U29" i="1"/>
  <c r="U27" i="1"/>
  <c r="U26" i="1"/>
  <c r="U25" i="1"/>
  <c r="V24" i="1" a="1"/>
  <c r="V24" i="1" s="1"/>
  <c r="V23" i="1" a="1"/>
  <c r="V23" i="1" s="1"/>
  <c r="V22" i="1" a="1"/>
  <c r="V22" i="1" s="1"/>
  <c r="V20" i="1" a="1"/>
  <c r="V20" i="1" s="1"/>
  <c r="W18" i="1"/>
  <c r="W16" i="1"/>
  <c r="W15" i="1"/>
  <c r="W14" i="1"/>
  <c r="X13" i="1" a="1"/>
  <c r="X13" i="1" s="1"/>
  <c r="X12" i="1" a="1"/>
  <c r="X12" i="1" s="1"/>
  <c r="R21" i="1" a="1"/>
  <c r="R21" i="1" s="1"/>
  <c r="Y2" i="1"/>
  <c r="W11" i="1"/>
  <c r="W10" i="1"/>
  <c r="U6" i="1"/>
  <c r="U5" i="1"/>
  <c r="U4" i="1"/>
  <c r="U3" i="1"/>
  <c r="V51" i="1" a="1"/>
  <c r="V51" i="1" s="1"/>
  <c r="V50" i="1" a="1"/>
  <c r="V50" i="1" s="1"/>
  <c r="V49" i="1" a="1"/>
  <c r="V49" i="1" s="1"/>
  <c r="W44" i="1"/>
  <c r="W43" i="1"/>
  <c r="X42" i="1" a="1"/>
  <c r="X42" i="1" s="1"/>
  <c r="X40" i="1" a="1"/>
  <c r="X40" i="1" s="1"/>
  <c r="X39" i="1" a="1"/>
  <c r="X39" i="1" s="1"/>
  <c r="X38" i="1" a="1"/>
  <c r="X38" i="1" s="1"/>
  <c r="Y34" i="1"/>
  <c r="Y33" i="1"/>
  <c r="Y32" i="1"/>
  <c r="Z31" i="1" a="1"/>
  <c r="Z31" i="1" s="1"/>
  <c r="Y30" i="1"/>
  <c r="Z29" i="1" a="1"/>
  <c r="Z29" i="1" s="1"/>
  <c r="Z28" i="1" a="1"/>
  <c r="Z28" i="1" s="1"/>
  <c r="Z27" i="1" a="1"/>
  <c r="Z27" i="1" s="1"/>
  <c r="U24" i="1"/>
  <c r="U23" i="1"/>
  <c r="U22" i="1"/>
  <c r="V21" i="1" a="1"/>
  <c r="V21" i="1" s="1"/>
  <c r="U20" i="1"/>
  <c r="V19" i="1" a="1"/>
  <c r="V19" i="1" s="1"/>
  <c r="V18" i="1" a="1"/>
  <c r="V18" i="1" s="1"/>
  <c r="V17" i="1" a="1"/>
  <c r="V17" i="1" s="1"/>
  <c r="W12" i="1"/>
  <c r="V46" i="1" a="1"/>
  <c r="V46" i="1" s="1"/>
  <c r="V44" i="1" a="1"/>
  <c r="V44" i="1" s="1"/>
  <c r="W42" i="1"/>
  <c r="W39" i="1"/>
  <c r="W38" i="1"/>
  <c r="X35" i="1" a="1"/>
  <c r="X35" i="1" s="1"/>
  <c r="Y31" i="1"/>
  <c r="Y29" i="1"/>
  <c r="Y28" i="1"/>
  <c r="Y27" i="1"/>
  <c r="Z26" i="1" a="1"/>
  <c r="Z26" i="1" s="1"/>
  <c r="Z25" i="1" a="1"/>
  <c r="Z25" i="1" s="1"/>
  <c r="Z24" i="1" a="1"/>
  <c r="Z24" i="1" s="1"/>
  <c r="Z22" i="1" a="1"/>
  <c r="Z22" i="1" s="1"/>
  <c r="U21" i="1"/>
  <c r="U19" i="1"/>
  <c r="U18" i="1"/>
  <c r="U17" i="1"/>
  <c r="V16" i="1" a="1"/>
  <c r="V16" i="1" s="1"/>
  <c r="V15" i="1" a="1"/>
  <c r="V15" i="1" s="1"/>
  <c r="V14" i="1" a="1"/>
  <c r="V14" i="1" s="1"/>
  <c r="V12" i="1" a="1"/>
  <c r="V12" i="1" s="1"/>
  <c r="V2" i="1" a="1"/>
  <c r="V2" i="1" s="1"/>
  <c r="X2" i="1" a="1"/>
  <c r="X2" i="1" s="1"/>
  <c r="U8" i="1"/>
  <c r="Z6" i="1" a="1"/>
  <c r="Z6" i="1" s="1"/>
  <c r="Z51" i="1" a="1"/>
  <c r="Z51" i="1" s="1"/>
  <c r="U48" i="1"/>
  <c r="U46" i="1"/>
  <c r="V45" i="1" a="1"/>
  <c r="V45" i="1" s="1"/>
  <c r="V43" i="1" a="1"/>
  <c r="V43" i="1" s="1"/>
  <c r="V42" i="1" a="1"/>
  <c r="V42" i="1" s="1"/>
  <c r="V41" i="1" a="1"/>
  <c r="V41" i="1" s="1"/>
  <c r="W36" i="1"/>
  <c r="X34" i="1" a="1"/>
  <c r="X34" i="1" s="1"/>
  <c r="X32" i="1" a="1"/>
  <c r="X32" i="1" s="1"/>
  <c r="X31" i="1" a="1"/>
  <c r="X31" i="1" s="1"/>
  <c r="X30" i="1" a="1"/>
  <c r="X30" i="1" s="1"/>
  <c r="Y25" i="1"/>
  <c r="Z23" i="1" a="1"/>
  <c r="Z23" i="1" s="1"/>
  <c r="Z20" i="1" a="1"/>
  <c r="Z20" i="1" s="1"/>
  <c r="Z19" i="1" a="1"/>
  <c r="Z19" i="1" s="1"/>
  <c r="U16" i="1"/>
  <c r="U14" i="1"/>
  <c r="V13" i="1" a="1"/>
  <c r="V13" i="1" s="1"/>
  <c r="Q7" i="1"/>
  <c r="R3" i="1" a="1"/>
  <c r="R3" i="1" s="1"/>
  <c r="Q44" i="1"/>
  <c r="R43" i="1" a="1"/>
  <c r="R43" i="1" s="1"/>
  <c r="Q29" i="1"/>
  <c r="Q28" i="1"/>
  <c r="Q10" i="1"/>
  <c r="R2" i="1" a="1"/>
  <c r="R2" i="1" s="1"/>
  <c r="Q37" i="1"/>
  <c r="R19" i="1" a="1"/>
  <c r="R19" i="1" s="1"/>
  <c r="R40" i="1" a="1"/>
  <c r="R40" i="1" s="1"/>
  <c r="P21" i="1" a="1"/>
  <c r="P21" i="1" s="1"/>
  <c r="R48" i="1" a="1"/>
  <c r="R48" i="1" s="1"/>
  <c r="Q35" i="1"/>
  <c r="Q18" i="1"/>
  <c r="Q47" i="1"/>
  <c r="Q32" i="1"/>
  <c r="R16" i="1" a="1"/>
  <c r="R16" i="1" s="1"/>
  <c r="R24" i="1" a="1"/>
  <c r="R24" i="1" s="1"/>
  <c r="Q45" i="1"/>
  <c r="Q31" i="1"/>
  <c r="R15" i="1" a="1"/>
  <c r="R15" i="1" s="1"/>
  <c r="T2" i="1" a="1"/>
  <c r="T2" i="1" s="1"/>
  <c r="Q49" i="1"/>
  <c r="Q42" i="1"/>
  <c r="Q26" i="1"/>
  <c r="Q23" i="1"/>
  <c r="Q20" i="1"/>
  <c r="Q14" i="1"/>
  <c r="Q4" i="1"/>
  <c r="R38" i="1" a="1"/>
  <c r="R38" i="1" s="1"/>
  <c r="R13" i="1" a="1"/>
  <c r="R13" i="1" s="1"/>
  <c r="R51" i="1" a="1"/>
  <c r="R51" i="1" s="1"/>
  <c r="R41" i="1" a="1"/>
  <c r="R41" i="1" s="1"/>
  <c r="R34" i="1" a="1"/>
  <c r="R34" i="1" s="1"/>
  <c r="R25" i="1" a="1"/>
  <c r="R25" i="1" s="1"/>
  <c r="R22" i="1" a="1"/>
  <c r="R22" i="1" s="1"/>
  <c r="R9" i="1" a="1"/>
  <c r="R9" i="1" s="1"/>
  <c r="R6" i="1" a="1"/>
  <c r="R6" i="1" s="1"/>
  <c r="R50" i="1" a="1"/>
  <c r="R50" i="1" s="1"/>
  <c r="O37" i="1"/>
  <c r="R33" i="1" a="1"/>
  <c r="R33" i="1" s="1"/>
  <c r="R27" i="1" a="1"/>
  <c r="R27" i="1" s="1"/>
  <c r="Q21" i="1"/>
  <c r="R5" i="1" a="1"/>
  <c r="R5" i="1" s="1"/>
  <c r="O2" i="1"/>
  <c r="P46" i="1" a="1"/>
  <c r="P46" i="1" s="1"/>
  <c r="O43" i="1"/>
  <c r="R46" i="1" a="1"/>
  <c r="R46" i="1" s="1"/>
  <c r="R39" i="1" a="1"/>
  <c r="R39" i="1" s="1"/>
  <c r="R36" i="1" a="1"/>
  <c r="R36" i="1" s="1"/>
  <c r="R30" i="1" a="1"/>
  <c r="R30" i="1" s="1"/>
  <c r="R17" i="1" a="1"/>
  <c r="R17" i="1" s="1"/>
  <c r="R11" i="1" a="1"/>
  <c r="R11" i="1" s="1"/>
  <c r="R8" i="1" a="1"/>
  <c r="R8" i="1" s="1"/>
  <c r="P40" i="1" a="1"/>
  <c r="P40" i="1" s="1"/>
  <c r="P27" i="1" a="1"/>
  <c r="P27" i="1" s="1"/>
  <c r="P12" i="1" a="1"/>
  <c r="P12" i="1" s="1"/>
  <c r="T18" i="1" a="1"/>
  <c r="T18" i="1" s="1"/>
  <c r="P9" i="1" a="1"/>
  <c r="P9" i="1" s="1"/>
  <c r="P15" i="1" a="1"/>
  <c r="P15" i="1" s="1"/>
  <c r="O17" i="1"/>
  <c r="T20" i="1" a="1"/>
  <c r="T20" i="1" s="1"/>
  <c r="P6" i="1" a="1"/>
  <c r="P6" i="1" s="1"/>
  <c r="T17" i="1" a="1"/>
  <c r="T17" i="1" s="1"/>
  <c r="P49" i="1" a="1"/>
  <c r="P49" i="1" s="1"/>
  <c r="O46" i="1"/>
  <c r="O40" i="1"/>
  <c r="P30" i="1" a="1"/>
  <c r="P30" i="1" s="1"/>
  <c r="O27" i="1"/>
  <c r="P24" i="1" a="1"/>
  <c r="P24" i="1" s="1"/>
  <c r="O21" i="1"/>
  <c r="O18" i="1"/>
  <c r="O15" i="1"/>
  <c r="O12" i="1"/>
  <c r="O9" i="1"/>
  <c r="O6" i="1"/>
  <c r="T33" i="1" a="1"/>
  <c r="T33" i="1" s="1"/>
  <c r="P2" i="1" a="1"/>
  <c r="P2" i="1" s="1"/>
  <c r="O49" i="1"/>
  <c r="P45" i="1" a="1"/>
  <c r="P45" i="1" s="1"/>
  <c r="P42" i="1" a="1"/>
  <c r="P42" i="1" s="1"/>
  <c r="P39" i="1" a="1"/>
  <c r="P39" i="1" s="1"/>
  <c r="P36" i="1" a="1"/>
  <c r="P36" i="1" s="1"/>
  <c r="P33" i="1" a="1"/>
  <c r="P33" i="1" s="1"/>
  <c r="O30" i="1"/>
  <c r="O24" i="1"/>
  <c r="P11" i="1" a="1"/>
  <c r="P11" i="1" s="1"/>
  <c r="P5" i="1" a="1"/>
  <c r="P5" i="1" s="1"/>
  <c r="T31" i="1" a="1"/>
  <c r="T31" i="1" s="1"/>
  <c r="P51" i="1" a="1"/>
  <c r="P51" i="1" s="1"/>
  <c r="P48" i="1" a="1"/>
  <c r="P48" i="1" s="1"/>
  <c r="O45" i="1"/>
  <c r="O42" i="1"/>
  <c r="O39" i="1"/>
  <c r="O36" i="1"/>
  <c r="O33" i="1"/>
  <c r="P29" i="1" a="1"/>
  <c r="P29" i="1" s="1"/>
  <c r="P26" i="1" a="1"/>
  <c r="P26" i="1" s="1"/>
  <c r="P23" i="1" a="1"/>
  <c r="P23" i="1" s="1"/>
  <c r="P20" i="1" a="1"/>
  <c r="P20" i="1" s="1"/>
  <c r="P17" i="1" a="1"/>
  <c r="P17" i="1" s="1"/>
  <c r="P14" i="1" a="1"/>
  <c r="P14" i="1" s="1"/>
  <c r="O11" i="1"/>
  <c r="P8" i="1" a="1"/>
  <c r="P8" i="1" s="1"/>
  <c r="O5" i="1"/>
  <c r="O51" i="1"/>
  <c r="O48" i="1"/>
  <c r="P35" i="1" a="1"/>
  <c r="P35" i="1" s="1"/>
  <c r="P32" i="1" a="1"/>
  <c r="P32" i="1" s="1"/>
  <c r="O29" i="1"/>
  <c r="O26" i="1"/>
  <c r="O23" i="1"/>
  <c r="O20" i="1"/>
  <c r="O14" i="1"/>
  <c r="O8" i="1"/>
  <c r="P4" i="1" a="1"/>
  <c r="P4" i="1" s="1"/>
  <c r="T49" i="1" a="1"/>
  <c r="T49" i="1" s="1"/>
  <c r="P47" i="1" a="1"/>
  <c r="P47" i="1" s="1"/>
  <c r="P44" i="1" a="1"/>
  <c r="P44" i="1" s="1"/>
  <c r="P41" i="1" a="1"/>
  <c r="P41" i="1" s="1"/>
  <c r="P38" i="1" a="1"/>
  <c r="P38" i="1" s="1"/>
  <c r="O35" i="1"/>
  <c r="O32" i="1"/>
  <c r="P19" i="1" a="1"/>
  <c r="P19" i="1" s="1"/>
  <c r="P13" i="1" a="1"/>
  <c r="P13" i="1" s="1"/>
  <c r="P10" i="1" a="1"/>
  <c r="P10" i="1" s="1"/>
  <c r="P7" i="1" a="1"/>
  <c r="P7" i="1" s="1"/>
  <c r="O4" i="1"/>
  <c r="O34" i="1"/>
  <c r="P18" i="1" a="1"/>
  <c r="P18" i="1" s="1"/>
  <c r="T44" i="1" a="1"/>
  <c r="T44" i="1" s="1"/>
  <c r="P50" i="1" a="1"/>
  <c r="P50" i="1" s="1"/>
  <c r="O47" i="1"/>
  <c r="O44" i="1"/>
  <c r="O41" i="1"/>
  <c r="O38" i="1"/>
  <c r="P31" i="1" a="1"/>
  <c r="P31" i="1" s="1"/>
  <c r="P28" i="1" a="1"/>
  <c r="P28" i="1" s="1"/>
  <c r="P25" i="1" a="1"/>
  <c r="P25" i="1" s="1"/>
  <c r="P22" i="1" a="1"/>
  <c r="P22" i="1" s="1"/>
  <c r="O19" i="1"/>
  <c r="P16" i="1" a="1"/>
  <c r="P16" i="1" s="1"/>
  <c r="O13" i="1"/>
  <c r="O10" i="1"/>
  <c r="O7" i="1"/>
  <c r="P3" i="1" a="1"/>
  <c r="P3" i="1" s="1"/>
  <c r="O50" i="1"/>
  <c r="P43" i="1" a="1"/>
  <c r="P43" i="1" s="1"/>
  <c r="P37" i="1" a="1"/>
  <c r="P37" i="1" s="1"/>
  <c r="P34" i="1" a="1"/>
  <c r="P34" i="1" s="1"/>
  <c r="O31" i="1"/>
  <c r="O28" i="1"/>
  <c r="O25" i="1"/>
  <c r="O22" i="1"/>
  <c r="O16" i="1"/>
  <c r="O3" i="1"/>
  <c r="T15" i="1" a="1"/>
  <c r="T15" i="1" s="1"/>
  <c r="T46" i="1" a="1"/>
  <c r="T46" i="1" s="1"/>
  <c r="T11" i="1" a="1"/>
  <c r="T11" i="1" s="1"/>
  <c r="T38" i="1" a="1"/>
  <c r="T38" i="1" s="1"/>
  <c r="T10" i="1" a="1"/>
  <c r="T10" i="1" s="1"/>
  <c r="T30" i="1" a="1"/>
  <c r="T30" i="1" s="1"/>
  <c r="T50" i="1" a="1"/>
  <c r="T50" i="1" s="1"/>
  <c r="T6" i="1" a="1"/>
  <c r="T6" i="1" s="1"/>
  <c r="T25" i="1" a="1"/>
  <c r="T25" i="1" s="1"/>
  <c r="S26" i="1"/>
  <c r="T4" i="1" a="1"/>
  <c r="T4" i="1" s="1"/>
  <c r="T22" i="1" a="1"/>
  <c r="T22" i="1" s="1"/>
  <c r="T3" i="1" a="1"/>
  <c r="T3" i="1" s="1"/>
  <c r="T8" i="1" a="1"/>
  <c r="T8" i="1" s="1"/>
  <c r="T13" i="1" a="1"/>
  <c r="T13" i="1" s="1"/>
  <c r="T29" i="1" a="1"/>
  <c r="T29" i="1" s="1"/>
  <c r="T48" i="1" a="1"/>
  <c r="T48" i="1" s="1"/>
  <c r="S5" i="1"/>
  <c r="S23" i="1"/>
  <c r="S34" i="1"/>
  <c r="T28" i="1" a="1"/>
  <c r="T28" i="1" s="1"/>
  <c r="T47" i="1" a="1"/>
  <c r="T47" i="1" s="1"/>
  <c r="T41" i="1" a="1"/>
  <c r="T41" i="1" s="1"/>
  <c r="T36" i="1" a="1"/>
  <c r="T36" i="1" s="1"/>
  <c r="S12" i="1"/>
  <c r="T35" i="1" a="1"/>
  <c r="T35" i="1" s="1"/>
  <c r="S21" i="1"/>
  <c r="S40" i="1"/>
  <c r="S32" i="1"/>
  <c r="T27" i="1" a="1"/>
  <c r="T27" i="1" s="1"/>
  <c r="S39" i="1"/>
  <c r="T7" i="1" a="1"/>
  <c r="T7" i="1" s="1"/>
  <c r="T16" i="1" a="1"/>
  <c r="T16" i="1" s="1"/>
  <c r="T45" i="1" a="1"/>
  <c r="T45" i="1" s="1"/>
  <c r="T51" i="1" a="1"/>
  <c r="T51" i="1" s="1"/>
  <c r="S9" i="1"/>
  <c r="S19" i="1"/>
  <c r="S37" i="1"/>
  <c r="S43" i="1"/>
  <c r="T14" i="1" a="1"/>
  <c r="T14" i="1" s="1"/>
  <c r="T24" i="1" a="1"/>
  <c r="T24" i="1" s="1"/>
  <c r="T42" i="1" a="1"/>
  <c r="T42" i="1" s="1"/>
  <c r="AB17" i="1" l="1" a="1"/>
  <c r="AB17" i="1" s="1"/>
  <c r="AB18" i="1" s="1"/>
  <c r="AA11" i="1"/>
  <c r="AA12" i="1" s="1"/>
  <c r="AA14" i="1"/>
  <c r="AA15" i="1" s="1"/>
  <c r="AB11" i="1" a="1"/>
  <c r="AB11" i="1" s="1"/>
  <c r="AB12" i="1" s="1"/>
  <c r="AA17" i="1"/>
  <c r="AA18" i="1" s="1"/>
  <c r="AB14" i="1" a="1"/>
  <c r="AB14" i="1" s="1"/>
  <c r="AB15" i="1" s="1"/>
  <c r="AA5" i="1"/>
  <c r="AA6" i="1" s="1"/>
  <c r="AB5" i="1"/>
  <c r="AB6" i="1" s="1"/>
  <c r="AB8" i="1"/>
  <c r="AB9" i="1" s="1"/>
  <c r="AA8" i="1"/>
  <c r="AA9" i="1" s="1"/>
  <c r="AA2" i="1"/>
  <c r="AA3" i="1" s="1"/>
  <c r="AB2" i="1"/>
  <c r="AB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<sst xmlns="http://schemas.openxmlformats.org/spreadsheetml/2006/main" count="899" uniqueCount="424">
  <si>
    <t>KD ID</t>
  </si>
  <si>
    <t>KD</t>
  </si>
  <si>
    <t>The knowledge descriptions are from the sheet v2.0.0 TKS Statements of the Excel document NICE Framework Components v2.0.0.xlsx</t>
  </si>
  <si>
    <t>The first row is for titles, and rows 2 to 13 contains the KDs already mapped in the earlier work of Sara and Valtteri.</t>
  </si>
  <si>
    <t>The rows 14 to 632 contains the KDs which needs mapping.</t>
  </si>
  <si>
    <t xml:space="preserve">Total of 50 KDs are chosen by randomly generating a sequence of numbers between 14 and 632. </t>
  </si>
  <si>
    <t>The Python script used is the following:</t>
  </si>
  <si>
    <t>Row numbers randomly generated are the following:</t>
  </si>
  <si>
    <t>19, 22, 24, 41, 84, 88, 91, 97, 110, 111, 135, 143, 151, 153, 154, 176, 179, 185, 192, 200, 207, 210, 221, 222, 278, 318, 325, 351, 354, 424, 461, 463, 473, 477, 506, 521, 523, 524, 527, 534, 544, 561, 571, 574, 575, 591, 592, 600, 606, 613</t>
  </si>
  <si>
    <r>
      <t>import</t>
    </r>
    <r>
      <rPr>
        <sz val="12"/>
        <color rgb="FFCCCCCC"/>
        <rFont val="Menlo"/>
        <family val="2"/>
      </rPr>
      <t xml:space="preserve"> </t>
    </r>
    <r>
      <rPr>
        <sz val="12"/>
        <color rgb="FF4EC9B0"/>
        <rFont val="Menlo"/>
        <family val="2"/>
      </rPr>
      <t>random</t>
    </r>
  </si>
  <si>
    <r>
      <t>numbers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[]</t>
    </r>
  </si>
  <si>
    <r>
      <t>for</t>
    </r>
    <r>
      <rPr>
        <sz val="12"/>
        <color rgb="FFCCCCCC"/>
        <rFont val="Menlo"/>
        <family val="2"/>
      </rPr>
      <t xml:space="preserve"> </t>
    </r>
    <r>
      <rPr>
        <sz val="12"/>
        <color rgb="FF9CDCFE"/>
        <rFont val="Menlo"/>
        <family val="2"/>
      </rPr>
      <t>num</t>
    </r>
    <r>
      <rPr>
        <sz val="12"/>
        <color rgb="FFCCCCCC"/>
        <rFont val="Menlo"/>
        <family val="2"/>
      </rPr>
      <t xml:space="preserve"> </t>
    </r>
    <r>
      <rPr>
        <sz val="12"/>
        <color rgb="FFC586C0"/>
        <rFont val="Menlo"/>
        <family val="2"/>
      </rPr>
      <t>in</t>
    </r>
    <r>
      <rPr>
        <sz val="12"/>
        <color rgb="FFCCCCCC"/>
        <rFont val="Menlo"/>
        <family val="2"/>
      </rPr>
      <t xml:space="preserve"> </t>
    </r>
    <r>
      <rPr>
        <sz val="12"/>
        <color rgb="FF4EC9B0"/>
        <rFont val="Menlo"/>
        <family val="2"/>
      </rPr>
      <t>range</t>
    </r>
    <r>
      <rPr>
        <sz val="12"/>
        <color rgb="FFCCCCCC"/>
        <rFont val="Menlo"/>
        <family val="2"/>
      </rPr>
      <t>(</t>
    </r>
    <r>
      <rPr>
        <sz val="12"/>
        <color rgb="FFB5CEA8"/>
        <rFont val="Menlo"/>
        <family val="2"/>
      </rPr>
      <t>14</t>
    </r>
    <r>
      <rPr>
        <sz val="12"/>
        <color rgb="FFCCCCCC"/>
        <rFont val="Menlo"/>
        <family val="2"/>
      </rPr>
      <t xml:space="preserve">, </t>
    </r>
    <r>
      <rPr>
        <sz val="12"/>
        <color rgb="FFB5CEA8"/>
        <rFont val="Menlo"/>
        <family val="2"/>
      </rPr>
      <t>633</t>
    </r>
    <r>
      <rPr>
        <sz val="12"/>
        <color rgb="FFCCCCCC"/>
        <rFont val="Menlo"/>
        <family val="2"/>
      </rPr>
      <t>):</t>
    </r>
  </si>
  <si>
    <r>
      <t>numbers</t>
    </r>
    <r>
      <rPr>
        <sz val="12"/>
        <color rgb="FFCCCCCC"/>
        <rFont val="Menlo"/>
        <family val="2"/>
      </rPr>
      <t>.</t>
    </r>
    <r>
      <rPr>
        <sz val="12"/>
        <color rgb="FFDCDCAA"/>
        <rFont val="Menlo"/>
        <family val="2"/>
      </rPr>
      <t>append</t>
    </r>
    <r>
      <rPr>
        <sz val="12"/>
        <color rgb="FFCCCCCC"/>
        <rFont val="Menlo"/>
        <family val="2"/>
      </rPr>
      <t>(</t>
    </r>
    <r>
      <rPr>
        <sz val="12"/>
        <color rgb="FF9CDCFE"/>
        <rFont val="Menlo"/>
        <family val="2"/>
      </rPr>
      <t>num</t>
    </r>
    <r>
      <rPr>
        <sz val="12"/>
        <color rgb="FFCCCCCC"/>
        <rFont val="Menlo"/>
        <family val="2"/>
      </rPr>
      <t>)</t>
    </r>
  </si>
  <si>
    <r>
      <t>random</t>
    </r>
    <r>
      <rPr>
        <sz val="12"/>
        <color rgb="FFCCCCCC"/>
        <rFont val="Menlo"/>
        <family val="2"/>
      </rPr>
      <t>.</t>
    </r>
    <r>
      <rPr>
        <sz val="12"/>
        <color rgb="FF9CDCFE"/>
        <rFont val="Menlo"/>
        <family val="2"/>
      </rPr>
      <t>seed</t>
    </r>
    <r>
      <rPr>
        <sz val="12"/>
        <color rgb="FFCCCCCC"/>
        <rFont val="Menlo"/>
        <family val="2"/>
      </rPr>
      <t>(</t>
    </r>
    <r>
      <rPr>
        <sz val="12"/>
        <color rgb="FFB5CEA8"/>
        <rFont val="Menlo"/>
        <family val="2"/>
      </rPr>
      <t>40</t>
    </r>
    <r>
      <rPr>
        <sz val="12"/>
        <color rgb="FFCCCCCC"/>
        <rFont val="Menlo"/>
        <family val="2"/>
      </rPr>
      <t xml:space="preserve">) </t>
    </r>
    <r>
      <rPr>
        <sz val="12"/>
        <color rgb="FF6A9955"/>
        <rFont val="Menlo"/>
        <family val="2"/>
      </rPr>
      <t># Set the seed for reproducibility</t>
    </r>
  </si>
  <si>
    <r>
      <t>random</t>
    </r>
    <r>
      <rPr>
        <sz val="12"/>
        <color rgb="FFCCCCCC"/>
        <rFont val="Menlo"/>
        <family val="2"/>
      </rPr>
      <t>.</t>
    </r>
    <r>
      <rPr>
        <sz val="12"/>
        <color rgb="FF9CDCFE"/>
        <rFont val="Menlo"/>
        <family val="2"/>
      </rPr>
      <t>shuffle</t>
    </r>
    <r>
      <rPr>
        <sz val="12"/>
        <color rgb="FFCCCCCC"/>
        <rFont val="Menlo"/>
        <family val="2"/>
      </rPr>
      <t>(</t>
    </r>
    <r>
      <rPr>
        <sz val="12"/>
        <color rgb="FF9CDCFE"/>
        <rFont val="Menlo"/>
        <family val="2"/>
      </rPr>
      <t>numbers</t>
    </r>
    <r>
      <rPr>
        <sz val="12"/>
        <color rgb="FFCCCCCC"/>
        <rFont val="Menlo"/>
        <family val="2"/>
      </rPr>
      <t>)</t>
    </r>
  </si>
  <si>
    <r>
      <t>first_50_numbers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9CDCFE"/>
        <rFont val="Menlo"/>
        <family val="2"/>
      </rPr>
      <t>numbers</t>
    </r>
    <r>
      <rPr>
        <sz val="12"/>
        <color rgb="FFCCCCCC"/>
        <rFont val="Menlo"/>
        <family val="2"/>
      </rPr>
      <t>[:</t>
    </r>
    <r>
      <rPr>
        <sz val="12"/>
        <color rgb="FFB5CEA8"/>
        <rFont val="Menlo"/>
        <family val="2"/>
      </rPr>
      <t>50</t>
    </r>
    <r>
      <rPr>
        <sz val="12"/>
        <color rgb="FFCCCCCC"/>
        <rFont val="Menlo"/>
        <family val="2"/>
      </rPr>
      <t>]</t>
    </r>
  </si>
  <si>
    <r>
      <t>first_50_numbers</t>
    </r>
    <r>
      <rPr>
        <sz val="12"/>
        <color rgb="FFCCCCCC"/>
        <rFont val="Menlo"/>
        <family val="2"/>
      </rPr>
      <t>.</t>
    </r>
    <r>
      <rPr>
        <sz val="12"/>
        <color rgb="FFDCDCAA"/>
        <rFont val="Menlo"/>
        <family val="2"/>
      </rPr>
      <t>sort</t>
    </r>
    <r>
      <rPr>
        <sz val="12"/>
        <color rgb="FFCCCCCC"/>
        <rFont val="Menlo"/>
        <family val="2"/>
      </rPr>
      <t>()</t>
    </r>
  </si>
  <si>
    <r>
      <t>print</t>
    </r>
    <r>
      <rPr>
        <sz val="12"/>
        <color rgb="FFCCCCCC"/>
        <rFont val="Menlo"/>
        <family val="2"/>
      </rPr>
      <t>()</t>
    </r>
  </si>
  <si>
    <r>
      <t>print</t>
    </r>
    <r>
      <rPr>
        <sz val="12"/>
        <color rgb="FFCCCCCC"/>
        <rFont val="Menlo"/>
        <family val="2"/>
      </rPr>
      <t>(</t>
    </r>
    <r>
      <rPr>
        <sz val="12"/>
        <color rgb="FF9CDCFE"/>
        <rFont val="Menlo"/>
        <family val="2"/>
      </rPr>
      <t>first_50_numbers</t>
    </r>
    <r>
      <rPr>
        <sz val="12"/>
        <color rgb="FFCCCCCC"/>
        <rFont val="Menlo"/>
        <family val="2"/>
      </rPr>
      <t>)</t>
    </r>
  </si>
  <si>
    <t>KAs (mapping)</t>
  </si>
  <si>
    <t>K0640</t>
  </si>
  <si>
    <t>Knowledge of the organizational cybersecurity workforce</t>
  </si>
  <si>
    <t>7</t>
  </si>
  <si>
    <t>K0643</t>
  </si>
  <si>
    <t>Knowledge of virtual learning environments</t>
  </si>
  <si>
    <t>0</t>
  </si>
  <si>
    <t>K0645</t>
  </si>
  <si>
    <t>Knowledge of standard operating procedures (SOPs)</t>
  </si>
  <si>
    <t>K0662</t>
  </si>
  <si>
    <t>Knowledge of systems security engineering</t>
  </si>
  <si>
    <t>5</t>
  </si>
  <si>
    <t>K0706</t>
  </si>
  <si>
    <t>Knowledge of database schema capabilities and applications</t>
  </si>
  <si>
    <t>K0710</t>
  </si>
  <si>
    <t>Knowledge of enterprise cybersecurity architecture principles and practices</t>
  </si>
  <si>
    <t>5, 7</t>
  </si>
  <si>
    <t>K0713</t>
  </si>
  <si>
    <t>Knowledge of Wide Area Networks (WAN)</t>
  </si>
  <si>
    <t>K0719</t>
  </si>
  <si>
    <t>Knowledge of human-computer interaction (HCI) principles and practices</t>
  </si>
  <si>
    <t>0, 6</t>
  </si>
  <si>
    <t>K0732</t>
  </si>
  <si>
    <t>Knowledge of intrusion detection tools and techniques</t>
  </si>
  <si>
    <t>K0733</t>
  </si>
  <si>
    <t>Knowledge of information technology (IT) architecture models and frameworks</t>
  </si>
  <si>
    <t>K0757</t>
  </si>
  <si>
    <t>Knowledge of system design tools and techniques</t>
  </si>
  <si>
    <t>K0765</t>
  </si>
  <si>
    <t>Knowledge of software engineering principles and practices</t>
  </si>
  <si>
    <t>0, 2</t>
  </si>
  <si>
    <t>K0773</t>
  </si>
  <si>
    <t>Knowledge of telecommunications principles and practices</t>
  </si>
  <si>
    <t>K0775</t>
  </si>
  <si>
    <t>Knowledge of information management tools and techniques</t>
  </si>
  <si>
    <t>K0776</t>
  </si>
  <si>
    <t>Knowledge of collaboration tools and techniques</t>
  </si>
  <si>
    <t>K0798</t>
  </si>
  <si>
    <t>Knowledge of program management principles and practices</t>
  </si>
  <si>
    <t>0, 7</t>
  </si>
  <si>
    <t>K0801</t>
  </si>
  <si>
    <t>Knowledge of cognitive domain models and frameworks</t>
  </si>
  <si>
    <t>K0807</t>
  </si>
  <si>
    <t>Knowledge of web mail tools and techniques</t>
  </si>
  <si>
    <t>K0814</t>
  </si>
  <si>
    <t>Knowledge of secure coding tools and techniques</t>
  </si>
  <si>
    <t>2</t>
  </si>
  <si>
    <t>K0822</t>
  </si>
  <si>
    <t>Knowledge of risk tolerance principles and practices</t>
  </si>
  <si>
    <t>K0829</t>
  </si>
  <si>
    <t>Knowledge of account creation policies and procedures</t>
  </si>
  <si>
    <t>K0832</t>
  </si>
  <si>
    <t>Knowledge of cyberattack characteristics</t>
  </si>
  <si>
    <t>1, 5, 6, 7</t>
  </si>
  <si>
    <t>K0844</t>
  </si>
  <si>
    <t>Knowledge of cyberattack stages</t>
  </si>
  <si>
    <t>K0845</t>
  </si>
  <si>
    <t>Knowledge of cyber intrusion activity phases</t>
  </si>
  <si>
    <t>K0901</t>
  </si>
  <si>
    <t>Knowledge of crisis management tools and techniques</t>
  </si>
  <si>
    <t>7, 8</t>
  </si>
  <si>
    <t>K0941</t>
  </si>
  <si>
    <t>Knowledge of data concealment tools and techniques</t>
  </si>
  <si>
    <t>1, 5</t>
  </si>
  <si>
    <t>K0948</t>
  </si>
  <si>
    <t>Knowledge of embedded systems and software</t>
  </si>
  <si>
    <t>0, 3, 5</t>
  </si>
  <si>
    <t>K0980</t>
  </si>
  <si>
    <t>Knowledge of intelligence collection sources</t>
  </si>
  <si>
    <t>K0986</t>
  </si>
  <si>
    <t>Knowledge of target selection criticality factors</t>
  </si>
  <si>
    <t>K1085</t>
  </si>
  <si>
    <t>Knowledge of exploitation tools and techniques</t>
  </si>
  <si>
    <t>2, 5, 7</t>
  </si>
  <si>
    <t>K1124</t>
  </si>
  <si>
    <t>Knowledge of continuous monitoring scoring and grading metrics</t>
  </si>
  <si>
    <t>K1126</t>
  </si>
  <si>
    <t>Knowledge of cost constraints</t>
  </si>
  <si>
    <t>K1138</t>
  </si>
  <si>
    <t>Knowledge of cybersecurity standards and best practices</t>
  </si>
  <si>
    <t>K1145</t>
  </si>
  <si>
    <t>Knowledge of data encryption practices and principles</t>
  </si>
  <si>
    <t>1</t>
  </si>
  <si>
    <t>K1175</t>
  </si>
  <si>
    <t>Knowledge of network monitoring tools and techniques</t>
  </si>
  <si>
    <t>K1191</t>
  </si>
  <si>
    <t>Knowledge of organizational security posture</t>
  </si>
  <si>
    <t>K1193</t>
  </si>
  <si>
    <t>Knowledge of packet analysis tools and techniques</t>
  </si>
  <si>
    <t>0, 4</t>
  </si>
  <si>
    <t>K1194</t>
  </si>
  <si>
    <t>Knowledge of Personally Identifiable Information (PII) attributes</t>
  </si>
  <si>
    <t>1, 8</t>
  </si>
  <si>
    <t>K1198</t>
  </si>
  <si>
    <t>Knowledge of privacy and data security regulators</t>
  </si>
  <si>
    <t>K1207</t>
  </si>
  <si>
    <t>Knowledge of reverse engineering tools and techniques</t>
  </si>
  <si>
    <t>2, 5</t>
  </si>
  <si>
    <t>K1217</t>
  </si>
  <si>
    <t>Knowledge of software and systems engineering life cycle standards</t>
  </si>
  <si>
    <t>0, 2, 5</t>
  </si>
  <si>
    <t>K1238</t>
  </si>
  <si>
    <t>Knowledge of Windows scripts</t>
  </si>
  <si>
    <t>K1248</t>
  </si>
  <si>
    <t>Knowledge of digital and physical security vulnerabilities</t>
  </si>
  <si>
    <t>1, 5, 7</t>
  </si>
  <si>
    <t>K1251</t>
  </si>
  <si>
    <t>Knowledge of external referrals policies and procedures</t>
  </si>
  <si>
    <t>K1252</t>
  </si>
  <si>
    <t>Knowledge of high value asset characteristics</t>
  </si>
  <si>
    <t>K1270</t>
  </si>
  <si>
    <t>Knowledge of suspicious activity response processes</t>
  </si>
  <si>
    <t>1, 7</t>
  </si>
  <si>
    <t>K1271</t>
  </si>
  <si>
    <t>Knowledge of system alert policies and procedures</t>
  </si>
  <si>
    <t>K1279</t>
  </si>
  <si>
    <t>Knowledge of threat-informed defense</t>
  </si>
  <si>
    <t>K1285</t>
  </si>
  <si>
    <t>Knowledge of assessment remediation requirements</t>
  </si>
  <si>
    <t>K1292</t>
  </si>
  <si>
    <t>Knowledge of OT cybersecurity risk tolerance levels</t>
  </si>
  <si>
    <t>Reasonings</t>
  </si>
  <si>
    <t>pedagogy</t>
  </si>
  <si>
    <t>A standard operating procedure is a set of step-by-step instructions compiled by an organization to help workers carry out routine operations. (This KD is not directly relating to the cybersecurity, so it can also be 0)</t>
  </si>
  <si>
    <t>Systems fall under KA-4</t>
  </si>
  <si>
    <t>Falls under software development (Computer Science)</t>
  </si>
  <si>
    <t>Network Defense</t>
  </si>
  <si>
    <t>Component Design (it can also be 0, as part of CS)</t>
  </si>
  <si>
    <t>it can also be 0, as part of CS</t>
  </si>
  <si>
    <t>Communication and Networking</t>
  </si>
  <si>
    <t>IT</t>
  </si>
  <si>
    <t>Business and Law</t>
  </si>
  <si>
    <t>Pedagogy</t>
  </si>
  <si>
    <t>CS</t>
  </si>
  <si>
    <t xml:space="preserve">Risk Management </t>
  </si>
  <si>
    <t>Cyberspace Practice</t>
  </si>
  <si>
    <t>cs</t>
  </si>
  <si>
    <t>System Management</t>
  </si>
  <si>
    <t>Analytical Tools</t>
  </si>
  <si>
    <t>Risk assessment and analysis</t>
  </si>
  <si>
    <t>Sara Reasonings</t>
  </si>
  <si>
    <t>Intelligence</t>
  </si>
  <si>
    <t>Sara KAs</t>
  </si>
  <si>
    <t>Valtteri KAs</t>
  </si>
  <si>
    <t>Valtteri Reasonings</t>
  </si>
  <si>
    <t>Same S&amp;V</t>
  </si>
  <si>
    <t>Intersected S&amp;V</t>
  </si>
  <si>
    <t># of same AI&amp;S</t>
  </si>
  <si>
    <t># of same AI&amp;V</t>
  </si>
  <si>
    <t># of intersected AI &amp; V</t>
  </si>
  <si>
    <t># of same S&amp;V</t>
  </si>
  <si>
    <t># of intersected S &amp; V</t>
  </si>
  <si>
    <t># of intersected AI &amp; S</t>
  </si>
  <si>
    <t>Same AI&amp;S</t>
  </si>
  <si>
    <t>Intersected AI &amp; S</t>
  </si>
  <si>
    <t>Same AI &amp; V</t>
  </si>
  <si>
    <t>Intersected AI &amp; V</t>
  </si>
  <si>
    <t>7 clear but social engineering, awareness and understanding also</t>
  </si>
  <si>
    <t>Clear standardization (of procedures here) topic missing in the KAs</t>
  </si>
  <si>
    <t>implementation issues for 2</t>
  </si>
  <si>
    <t>Could be 4 also, depending on the architecture level</t>
  </si>
  <si>
    <t>4,0,1</t>
  </si>
  <si>
    <t>1 is a low level interpretation (data flow)</t>
  </si>
  <si>
    <t>Seems that a separate network security KA is "missing" but IDS included in 4. 0,5,2,1,3 also seem reasonable to me here.</t>
  </si>
  <si>
    <t>Bell-LaPadula …? 0 for Information Technology (wide topic)</t>
  </si>
  <si>
    <t>o for communication and networking. No clear KA, 1,4 might also be appropriate</t>
  </si>
  <si>
    <t>5,1 also?</t>
  </si>
  <si>
    <t>?</t>
  </si>
  <si>
    <t>educational program, computer program,...?</t>
  </si>
  <si>
    <t>6 human factors also?</t>
  </si>
  <si>
    <t>Not web attacks or technical as I interpreted it</t>
  </si>
  <si>
    <t>many KAs relevant</t>
  </si>
  <si>
    <t>somewhat technical interpretation</t>
  </si>
  <si>
    <t>cybercrime</t>
  </si>
  <si>
    <t>IDS</t>
  </si>
  <si>
    <t>incident management</t>
  </si>
  <si>
    <t>digital forensic tools and investigatory process</t>
  </si>
  <si>
    <t>or 0 cyberspace practice</t>
  </si>
  <si>
    <t>cybersecurity practice</t>
  </si>
  <si>
    <t>low level interpretation. Could be component, system,…</t>
  </si>
  <si>
    <t>network</t>
  </si>
  <si>
    <t>3,2,5</t>
  </si>
  <si>
    <t>2,5,0</t>
  </si>
  <si>
    <t>not sure here, maybe better just 0, but I was thinking skills and operating system knowledge</t>
  </si>
  <si>
    <t>3,4,5</t>
  </si>
  <si>
    <t>Transferring sensitive data to an external system? 6,5?</t>
  </si>
  <si>
    <t>asset management = risk management</t>
  </si>
  <si>
    <t>0 Intelligence?</t>
  </si>
  <si>
    <t>incident response</t>
  </si>
  <si>
    <t>Adapting defenses depending on threats - dynamic threat defense, then maybe 7,5?</t>
  </si>
  <si>
    <t>Assessing asset protection plans, high level.</t>
  </si>
  <si>
    <t>cyberspace practice?</t>
  </si>
  <si>
    <t>Paul Kas</t>
  </si>
  <si>
    <t>Paul Reasonings</t>
  </si>
  <si>
    <t>Same P &amp; S</t>
  </si>
  <si>
    <t>Intersected P&amp;S</t>
  </si>
  <si>
    <t>Same P &amp; AI</t>
  </si>
  <si>
    <t>Intersecter P&amp;AI</t>
  </si>
  <si>
    <t>Same P&amp;V</t>
  </si>
  <si>
    <t># of same AI&amp;P</t>
  </si>
  <si>
    <t># of same P&amp;S</t>
  </si>
  <si>
    <t># of same P&amp;V</t>
  </si>
  <si>
    <t># of intersected AI&amp;P</t>
  </si>
  <si>
    <t># of intersected P&amp;S</t>
  </si>
  <si>
    <t># of intersected P&amp;V</t>
  </si>
  <si>
    <t>Intersected P&amp;V</t>
  </si>
  <si>
    <t>All human differ (4)</t>
  </si>
  <si>
    <t>Human winner agrees with AI</t>
  </si>
  <si>
    <t>All 4 differ</t>
  </si>
  <si>
    <t>10, 39, 41</t>
  </si>
  <si>
    <t>1. DATA SECURITY</t>
  </si>
  <si>
    <t>Essentials</t>
  </si>
  <si>
    <t>- Basic cryptography concepts,</t>
  </si>
  <si>
    <t>- Digital forensics,</t>
  </si>
  <si>
    <t>- End-to-end secure communications,</t>
  </si>
  <si>
    <t>- Data integrity and authentication, and</t>
  </si>
  <si>
    <t>- Information storage security</t>
  </si>
  <si>
    <t>2. SOFTWARE SECURITY</t>
  </si>
  <si>
    <t>- Fundamental design principles including least privilege, open design, and</t>
  </si>
  <si>
    <t>abstraction,</t>
  </si>
  <si>
    <t>- Security requirements and their role in design,</t>
  </si>
  <si>
    <t>- Implementation issues,</t>
  </si>
  <si>
    <t>- Static and dynamic testing,</t>
  </si>
  <si>
    <t>- Configuring and patching, and</t>
  </si>
  <si>
    <t>- Ethics, especially in development, testing and vulnerability disclosure</t>
  </si>
  <si>
    <t>3. COMPONENT SECURITY</t>
  </si>
  <si>
    <t>- Vulnerabilities of system components,</t>
  </si>
  <si>
    <t>- Component lifecycle,</t>
  </si>
  <si>
    <t>- Secure component design principles,</t>
  </si>
  <si>
    <t>- Supply chain management security,</t>
  </si>
  <si>
    <t>- Security testing, and</t>
  </si>
  <si>
    <t>- Reverse engineering</t>
  </si>
  <si>
    <t>4. CONNECTION SECURITY</t>
  </si>
  <si>
    <t>- Systems, architecture, models, and standards,</t>
  </si>
  <si>
    <t>- Physical component interfaces,</t>
  </si>
  <si>
    <t>- Software component interfaces,</t>
  </si>
  <si>
    <t>- Connection attacks, and</t>
  </si>
  <si>
    <t>- Transmission attacks</t>
  </si>
  <si>
    <t>5. SYSTEM SECURITY</t>
  </si>
  <si>
    <t>- Holistic approach,</t>
  </si>
  <si>
    <t>- Security policy,</t>
  </si>
  <si>
    <t>- Authentication,</t>
  </si>
  <si>
    <t>- Access control,</t>
  </si>
  <si>
    <t>- Monitoring,</t>
  </si>
  <si>
    <t>- Recovery,</t>
  </si>
  <si>
    <t>- Testing, and</t>
  </si>
  <si>
    <t>- Documentation</t>
  </si>
  <si>
    <t>6. HUMAN SECURITY</t>
  </si>
  <si>
    <t>- Identity management,</t>
  </si>
  <si>
    <t>- Social engineering,</t>
  </si>
  <si>
    <t>- Awareness and understanding,</t>
  </si>
  <si>
    <t>- Social behavioral privacy and security, and</t>
  </si>
  <si>
    <t>- Personal data privacy and security</t>
  </si>
  <si>
    <t>7. ORGANIZATIONAL SECURITY</t>
  </si>
  <si>
    <t>- Risk management,</t>
  </si>
  <si>
    <t>- Governance and policy,</t>
  </si>
  <si>
    <t>- Laws, ethics, and compliance, and</t>
  </si>
  <si>
    <t>- Strategy and planning</t>
  </si>
  <si>
    <t>8. SOCIETAL SECURITY</t>
  </si>
  <si>
    <t>- Cybercrime,</t>
  </si>
  <si>
    <t>- Cyber law,</t>
  </si>
  <si>
    <t>- Cyber ethics,</t>
  </si>
  <si>
    <t>- Cyber policy, and</t>
  </si>
  <si>
    <t>- Privacy</t>
  </si>
  <si>
    <t>0. MISCELLANEOUS</t>
  </si>
  <si>
    <t>Includes</t>
  </si>
  <si>
    <t>- Computer Science,</t>
  </si>
  <si>
    <t>- Business and Law,</t>
  </si>
  <si>
    <t>- Communication and Networking,</t>
  </si>
  <si>
    <t>- Information Technology,</t>
  </si>
  <si>
    <t>- Cyberspace Practice,</t>
  </si>
  <si>
    <t>- Pedagogy,</t>
  </si>
  <si>
    <t>- Intelligence</t>
  </si>
  <si>
    <t>ABC</t>
  </si>
  <si>
    <t>DEF</t>
  </si>
  <si>
    <t>GHI</t>
  </si>
  <si>
    <t>JKL</t>
  </si>
  <si>
    <t>MNO</t>
  </si>
  <si>
    <t>ADG</t>
  </si>
  <si>
    <t>BEH</t>
  </si>
  <si>
    <t>CJM</t>
  </si>
  <si>
    <t>FKN</t>
  </si>
  <si>
    <t>ILO</t>
  </si>
  <si>
    <t>AEO</t>
  </si>
  <si>
    <t>BIJ</t>
  </si>
  <si>
    <t>CDN</t>
  </si>
  <si>
    <t>FHL</t>
  </si>
  <si>
    <t>GKM</t>
  </si>
  <si>
    <t>AIM</t>
  </si>
  <si>
    <t>BDL</t>
  </si>
  <si>
    <t>CEK</t>
  </si>
  <si>
    <t>FGO</t>
  </si>
  <si>
    <t>HJN</t>
  </si>
  <si>
    <t>AFJ</t>
  </si>
  <si>
    <t>BKO</t>
  </si>
  <si>
    <t>CGL</t>
  </si>
  <si>
    <t>DHM</t>
  </si>
  <si>
    <t>EIN</t>
  </si>
  <si>
    <t>AHK</t>
  </si>
  <si>
    <t>BGN</t>
  </si>
  <si>
    <t>CFI</t>
  </si>
  <si>
    <t>DJO</t>
  </si>
  <si>
    <t>ELM</t>
  </si>
  <si>
    <t>ALN</t>
  </si>
  <si>
    <t>BFM</t>
  </si>
  <si>
    <t>CHO</t>
  </si>
  <si>
    <t>DIK</t>
  </si>
  <si>
    <t>EGJ</t>
  </si>
  <si>
    <t>Mix</t>
  </si>
  <si>
    <t>First Letter</t>
  </si>
  <si>
    <t>Second Letter</t>
  </si>
  <si>
    <t>Third Letter</t>
  </si>
  <si>
    <t>First Mappings</t>
  </si>
  <si>
    <t>Second Mappings</t>
  </si>
  <si>
    <t>Third Mappings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</si>
  <si>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</si>
  <si>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</si>
  <si>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</si>
  <si>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</si>
  <si>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</si>
  <si>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</si>
  <si>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</si>
  <si>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</si>
  <si>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</si>
  <si>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</si>
  <si>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</si>
  <si>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</si>
  <si>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</si>
  <si>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</si>
  <si>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</si>
  <si>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Girl</t>
  </si>
  <si>
    <t>KD code</t>
  </si>
  <si>
    <t xml:space="preserve">KD </t>
  </si>
  <si>
    <t>First KD</t>
  </si>
  <si>
    <t>Second KD</t>
  </si>
  <si>
    <t>Third KD</t>
  </si>
  <si>
    <t>3, 7, 8</t>
  </si>
  <si>
    <t>2, 5, 0</t>
  </si>
  <si>
    <t>1, 4, 6, 0</t>
  </si>
  <si>
    <t>6, 7, 8</t>
  </si>
  <si>
    <t>1, 2, 3, 4</t>
  </si>
  <si>
    <t>0, 3, 8</t>
  </si>
  <si>
    <t>2, 4, 5, 1, 0</t>
  </si>
  <si>
    <t>-</t>
  </si>
  <si>
    <t>4</t>
  </si>
  <si>
    <t>6</t>
  </si>
  <si>
    <t>3, 1</t>
  </si>
  <si>
    <t>7, 6, 8</t>
  </si>
  <si>
    <t>2, 4</t>
  </si>
  <si>
    <t>1, 3, 4, 5, 7, 0</t>
  </si>
  <si>
    <t>5, 6, 7, 8, 0</t>
  </si>
  <si>
    <t>2, 3, 5</t>
  </si>
  <si>
    <t>1, 4</t>
  </si>
  <si>
    <t>1, 2, 4, 5, 6</t>
  </si>
  <si>
    <t>2, 3, 4, 5, 6, 7, 0</t>
  </si>
  <si>
    <t>1, 2, 3, 4, 5, 6, 7, 8, 0</t>
  </si>
  <si>
    <t>1, 2, 3, 4, 5</t>
  </si>
  <si>
    <t>1, 2, 3, 5, 6</t>
  </si>
  <si>
    <t>6, 7</t>
  </si>
  <si>
    <t>4, 6</t>
  </si>
  <si>
    <t>7, 6, 0</t>
  </si>
  <si>
    <t>7, 8, 3</t>
  </si>
  <si>
    <t>1, 2, 3</t>
  </si>
  <si>
    <t>1, 3, 4, 6, 8</t>
  </si>
  <si>
    <t>5, 2, 0</t>
  </si>
  <si>
    <t>3</t>
  </si>
  <si>
    <t>3, 5</t>
  </si>
  <si>
    <t>5, 3</t>
  </si>
  <si>
    <t>7, 0</t>
  </si>
  <si>
    <t>1, 3, 4, 5, 6, 8, 0</t>
  </si>
  <si>
    <t>2, 5, 7, 8, 6, 0</t>
  </si>
  <si>
    <t>4, 5, 8, 6, 7, 0</t>
  </si>
  <si>
    <t>8, 6, 7, 5, 3, 2</t>
  </si>
  <si>
    <t>6, 5, 4, 3, 1, 2</t>
  </si>
  <si>
    <t>8, 7, 4, 2, 1</t>
  </si>
  <si>
    <t>1, 2</t>
  </si>
  <si>
    <t>4, 5, 7</t>
  </si>
  <si>
    <t>1, 3, 4</t>
  </si>
  <si>
    <t>2, 3, 5, 6, 8</t>
  </si>
  <si>
    <t>1, 3, 6, 7, 8, 0</t>
  </si>
  <si>
    <t>6, 1, 7</t>
  </si>
  <si>
    <t>7, 8, 0, 1</t>
  </si>
  <si>
    <t>5, 3, 2, 1</t>
  </si>
  <si>
    <t>1, 2, 4, 5</t>
  </si>
  <si>
    <t>2, 3, 7</t>
  </si>
  <si>
    <t>3, 4, 7</t>
  </si>
  <si>
    <t>3, 7, 8, 6</t>
  </si>
  <si>
    <t>1, 2, 4</t>
  </si>
  <si>
    <t>3, 2, 1</t>
  </si>
  <si>
    <t>7, 5</t>
  </si>
  <si>
    <t>5, 7, 8</t>
  </si>
  <si>
    <t>4, 3, 2</t>
  </si>
  <si>
    <t>8, 6, 7, 0, 1, 5</t>
  </si>
  <si>
    <t>3, 2, 1, 5</t>
  </si>
  <si>
    <t>5, 9, 0</t>
  </si>
  <si>
    <t>1, 0, 6</t>
  </si>
  <si>
    <t>0, 4, 1</t>
  </si>
  <si>
    <t>6, 5, 4, 3, 2, 1, 0</t>
  </si>
  <si>
    <t>8, 7, 6, 5, 3, 2, 1, 0</t>
  </si>
  <si>
    <t>5, 4, 3, 2, 1, 0</t>
  </si>
  <si>
    <t>6, 0</t>
  </si>
  <si>
    <t>1, 4, 0, 5</t>
  </si>
  <si>
    <t>1, 2, 3, 4, 5, 6, 7, 8</t>
  </si>
  <si>
    <t>1, 6, 7, 8</t>
  </si>
  <si>
    <t>OBS! IN THIS SHEET THE INFORMATION BELOW IS USED IN OTHER SHEETS! DO NOT REMOVE OR CHANGE THE CONTENTS OF THIS SHEET!!!!!!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</si>
</sst>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sz val="12"/>
      <color rgb="FFCCCCCC"/>
      <name val="Menlo"/>
      <family val="2"/>
    </font>
    <font>
      <sz val="12"/>
      <color rgb="FFC586C0"/>
      <name val="Menlo"/>
      <family val="2"/>
    </font>
    <font>
      <sz val="12"/>
      <color rgb="FF4EC9B0"/>
      <name val="Menlo"/>
      <family val="2"/>
    </font>
    <font>
      <sz val="12"/>
      <color rgb="FF9CDCFE"/>
      <name val="Menlo"/>
      <family val="2"/>
    </font>
    <font>
      <sz val="12"/>
      <color rgb="FFD4D4D4"/>
      <name val="Menlo"/>
      <family val="2"/>
    </font>
    <font>
      <sz val="12"/>
      <color rgb="FFB5CEA8"/>
      <name val="Menlo"/>
      <family val="2"/>
    </font>
    <font>
      <sz val="12"/>
      <color rgb="FFDCDCAA"/>
      <name val="Menlo"/>
      <family val="2"/>
    </font>
    <font>
      <sz val="12"/>
      <color rgb="FF6A9955"/>
      <name val="Menlo"/>
      <family val="2"/>
    </font>
    <font>
      <b/>
      <sz val="12"/>
      <color theme="1"/>
      <name val="Aptos Narrow"/>
      <scheme val="minor"/>
    </font>
    <font>
      <sz val="11"/>
      <color rgb="FF1F1F1F"/>
      <name val="Arial"/>
      <family val="2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6"/>
      <color rgb="FF202122"/>
      <name val="Courier New"/>
      <family val="1"/>
    </font>
    <font>
      <sz val="12"/>
      <color rgb="FFFF0000"/>
      <name val="Aptos Narrow"/>
      <family val="2"/>
      <scheme val="minor"/>
    </font>
    <font>
      <sz val="16"/>
      <color rgb="FF202122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7" fillId="0" borderId="0" xfId="0" applyFont="1"/>
    <xf numFmtId="49" fontId="0" fillId="0" borderId="0" xfId="0" applyNumberFormat="1" applyAlignment="1">
      <alignment wrapText="1"/>
    </xf>
    <xf numFmtId="0" fontId="9" fillId="0" borderId="0" xfId="0" applyFont="1"/>
    <xf numFmtId="0" fontId="10" fillId="0" borderId="0" xfId="0" applyFont="1"/>
    <xf numFmtId="49" fontId="0" fillId="0" borderId="0" xfId="0" applyNumberFormat="1"/>
    <xf numFmtId="0" fontId="0" fillId="0" borderId="0" xfId="0" quotePrefix="1"/>
    <xf numFmtId="0" fontId="9" fillId="0" borderId="0" xfId="0" applyFont="1" applyAlignment="1">
      <alignment vertical="center"/>
    </xf>
    <xf numFmtId="49" fontId="9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9" fontId="0" fillId="0" borderId="0" xfId="0" applyNumberFormat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wrapText="1"/>
    </xf>
    <xf numFmtId="1" fontId="0" fillId="0" borderId="0" xfId="0" applyNumberFormat="1"/>
    <xf numFmtId="0" fontId="13" fillId="0" borderId="0" xfId="0" applyFont="1"/>
    <xf numFmtId="49" fontId="15" fillId="0" borderId="0" xfId="0" applyNumberFormat="1" applyFont="1"/>
    <xf numFmtId="49" fontId="16" fillId="0" borderId="0" xfId="0" applyNumberFormat="1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9</xdr:col>
      <xdr:colOff>730250</xdr:colOff>
      <xdr:row>26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C894D1-3733-B103-885E-2E1DF17D4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406400"/>
          <a:ext cx="7334250" cy="4889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A754E-9FCC-174B-AB3D-DB625A8DDFC8}">
  <dimension ref="A1:AB63"/>
  <sheetViews>
    <sheetView zoomScale="120" zoomScaleNormal="120" workbookViewId="0">
      <pane ySplit="1" topLeftCell="A43" activePane="bottomLeft" state="frozen"/>
      <selection activeCell="C1" sqref="C1"/>
      <selection pane="bottomLeft" activeCell="B57" sqref="B57"/>
    </sheetView>
  </sheetViews>
  <sheetFormatPr baseColWidth="10" defaultRowHeight="16" x14ac:dyDescent="0.2"/>
  <cols>
    <col min="2" max="2" width="30.1640625" customWidth="1"/>
    <col min="3" max="3" width="15.6640625" style="8" customWidth="1"/>
    <col min="4" max="4" width="6.6640625" style="8" customWidth="1"/>
    <col min="5" max="6" width="6.83203125" customWidth="1"/>
    <col min="7" max="7" width="8.6640625" style="8" customWidth="1"/>
    <col min="8" max="8" width="25.6640625" customWidth="1"/>
    <col min="9" max="9" width="12.33203125" customWidth="1"/>
    <col min="10" max="10" width="18" customWidth="1"/>
    <col min="11" max="11" width="17.1640625" customWidth="1"/>
    <col min="12" max="12" width="17.5" customWidth="1"/>
    <col min="13" max="13" width="18" customWidth="1"/>
    <col min="14" max="14" width="2.83203125" customWidth="1"/>
    <col min="16" max="17" width="12.5" customWidth="1"/>
    <col min="18" max="18" width="16.33203125" customWidth="1"/>
    <col min="20" max="26" width="15" customWidth="1"/>
    <col min="27" max="27" width="13.1640625" customWidth="1"/>
    <col min="28" max="28" width="18.83203125" customWidth="1"/>
  </cols>
  <sheetData>
    <row r="1" spans="1:28" s="12" customFormat="1" ht="34" customHeight="1" x14ac:dyDescent="0.2">
      <c r="A1" s="10" t="s">
        <v>0</v>
      </c>
      <c r="B1" s="10" t="s">
        <v>1</v>
      </c>
      <c r="C1" s="11" t="s">
        <v>19</v>
      </c>
      <c r="D1" s="11" t="s">
        <v>226</v>
      </c>
      <c r="E1" s="12" t="s">
        <v>225</v>
      </c>
      <c r="F1" s="12" t="s">
        <v>227</v>
      </c>
      <c r="G1" s="11" t="s">
        <v>161</v>
      </c>
      <c r="H1" s="10" t="s">
        <v>159</v>
      </c>
      <c r="I1" s="10" t="s">
        <v>162</v>
      </c>
      <c r="J1" s="10" t="s">
        <v>163</v>
      </c>
      <c r="K1" s="10" t="s">
        <v>211</v>
      </c>
      <c r="L1" s="10" t="s">
        <v>212</v>
      </c>
      <c r="M1" s="10"/>
      <c r="N1" s="10"/>
      <c r="O1" s="12" t="s">
        <v>164</v>
      </c>
      <c r="P1" s="12" t="s">
        <v>165</v>
      </c>
      <c r="Q1" s="12" t="s">
        <v>174</v>
      </c>
      <c r="R1" s="12" t="s">
        <v>175</v>
      </c>
      <c r="S1" s="12" t="s">
        <v>172</v>
      </c>
      <c r="T1" s="12" t="s">
        <v>173</v>
      </c>
      <c r="U1" s="12" t="s">
        <v>213</v>
      </c>
      <c r="V1" s="12" t="s">
        <v>214</v>
      </c>
      <c r="W1" s="12" t="s">
        <v>215</v>
      </c>
      <c r="X1" s="12" t="s">
        <v>216</v>
      </c>
      <c r="Y1" s="12" t="s">
        <v>217</v>
      </c>
      <c r="Z1" s="12" t="s">
        <v>224</v>
      </c>
      <c r="AA1" s="12" t="s">
        <v>166</v>
      </c>
      <c r="AB1" s="12" t="s">
        <v>171</v>
      </c>
    </row>
    <row r="2" spans="1:28" ht="34" x14ac:dyDescent="0.2">
      <c r="A2" t="s">
        <v>20</v>
      </c>
      <c r="B2" s="5" t="s">
        <v>21</v>
      </c>
      <c r="C2" s="8" t="s">
        <v>22</v>
      </c>
      <c r="D2">
        <v>1</v>
      </c>
      <c r="G2" s="8">
        <f>'Sara Mappings'!C2</f>
        <v>7</v>
      </c>
      <c r="H2" s="9" t="str">
        <f>IF('Sara Mappings'!D2=0,"",'Sara Mappings'!D2)</f>
        <v/>
      </c>
      <c r="I2">
        <f>'Valtteri Mappings'!C2</f>
        <v>7</v>
      </c>
      <c r="J2" t="str">
        <f>IF('Valtteri Mappings'!D2=0,"",'Valtteri Mappings'!D2)</f>
        <v/>
      </c>
      <c r="K2">
        <f>'Paul Mappings'!C2</f>
        <v>7.6</v>
      </c>
      <c r="L2" t="str">
        <f>IF('Paul Mappings'!D2=0,"",'Paul Mappings'!D2)</f>
        <v>7 clear but social engineering, awareness and understanding also</v>
      </c>
      <c r="O2">
        <f>IF(SUBSTITUTE(G2," ","") = SUBSTITUTE(I2," ",""), 1, 0)</f>
        <v>1</v>
      </c>
      <c r="P2" cm="1">
        <f t="array" ref="P2">SUMPRODUCT(--(ISNUMBER(SEARCH({"0";"1";"2";"3";"4";"5";"6";"7";"8"},SUBSTITUTE(G2," ",""))) * ISNUMBER(SEARCH({"0";"1";"2";"3";"4";"5";"6";"7";"8"},SUBSTITUTE(I2," ","")))))</f>
        <v>1</v>
      </c>
      <c r="Q2">
        <f t="shared" ref="Q2:Q33" si="0">IF(SUBSTITUTE(C2," ","") = SUBSTITUTE(I2," ",""), 1, 0)</f>
        <v>1</v>
      </c>
      <c r="R2" cm="1">
        <f t="array" ref="R2">SUMPRODUCT(--(ISNUMBER(SEARCH({"0";"1";"2";"3";"4";"5";"6";"7";"8"},SUBSTITUTE(C2," ",""))) * ISNUMBER(SEARCH({"0";"1";"2";"3";"4";"5";"6";"7";"8"},SUBSTITUTE(I2," ","")))))</f>
        <v>1</v>
      </c>
      <c r="S2">
        <f t="shared" ref="S2:S33" si="1">IF(SUBSTITUTE(C2," ","") = SUBSTITUTE(G2," ",""), 1, 0)</f>
        <v>1</v>
      </c>
      <c r="T2" cm="1">
        <f t="array" ref="T2">SUMPRODUCT(--(ISNUMBER(SEARCH({"0";"1";"2";"3";"4";"5";"6";"7";"8"},SUBSTITUTE(C2," ",""))) * ISNUMBER(SEARCH({"0";"1";"2";"3";"4";"5";"6";"7";"8"},SUBSTITUTE(G2," ","")))))</f>
        <v>1</v>
      </c>
      <c r="U2">
        <f>IF(SUBSTITUTE(K2," ","") = SUBSTITUTE(G2," ",""), 1, 0)</f>
        <v>0</v>
      </c>
      <c r="V2" cm="1">
        <f t="array" ref="V2">SUMPRODUCT(--(ISNUMBER(SEARCH({"0";"1";"2";"3";"4";"5";"6";"7";"8"},SUBSTITUTE(K2," ",""))) * ISNUMBER(SEARCH({"0";"1";"2";"3";"4";"5";"6";"7";"8"},SUBSTITUTE(G2," ","")))))</f>
        <v>1</v>
      </c>
      <c r="W2">
        <f t="shared" ref="W2:W33" si="2">IF(SUBSTITUTE(K2," ","") = SUBSTITUTE(C2," ",""), 1, 0)</f>
        <v>0</v>
      </c>
      <c r="X2" cm="1">
        <f t="array" ref="X2">SUMPRODUCT(--(ISNUMBER(SEARCH({"0";"1";"2";"3";"4";"5";"6";"7";"8"},SUBSTITUTE(K2," ",""))) * ISNUMBER(SEARCH({"0";"1";"2";"3";"4";"5";"6";"7";"8"},SUBSTITUTE(C2," ","")))))</f>
        <v>1</v>
      </c>
      <c r="Y2">
        <f>IF(SUBSTITUTE(K2," ","") = SUBSTITUTE(I2," ",""), 1, 0)</f>
        <v>0</v>
      </c>
      <c r="Z2" cm="1">
        <f t="array" ref="Z2">SUMPRODUCT(--(ISNUMBER(SEARCH({"0";"1";"2";"3";"4";"5";"6";"7";"8"},SUBSTITUTE(K2," ",""))) * ISNUMBER(SEARCH({"0";"1";"2";"3";"4";"5";"6";"7";"8"},SUBSTITUTE(I2," ","")))))</f>
        <v>1</v>
      </c>
      <c r="AA2">
        <f>SUM(S2:S52)</f>
        <v>17</v>
      </c>
      <c r="AB2">
        <f>SUM(T2:T52)</f>
        <v>31</v>
      </c>
    </row>
    <row r="3" spans="1:28" ht="34" x14ac:dyDescent="0.2">
      <c r="A3" t="s">
        <v>23</v>
      </c>
      <c r="B3" s="5" t="s">
        <v>24</v>
      </c>
      <c r="C3" s="8" t="s">
        <v>25</v>
      </c>
      <c r="D3">
        <v>1</v>
      </c>
      <c r="G3" s="8">
        <f>'Sara Mappings'!C3</f>
        <v>0</v>
      </c>
      <c r="H3" s="9" t="str">
        <f>IF('Sara Mappings'!D3=0,"",'Sara Mappings'!D3)</f>
        <v>pedagogy</v>
      </c>
      <c r="I3">
        <f>'Valtteri Mappings'!C3</f>
        <v>6</v>
      </c>
      <c r="J3" t="str">
        <f>IF('Valtteri Mappings'!D3=0,"",'Valtteri Mappings'!D3)</f>
        <v/>
      </c>
      <c r="K3">
        <f>'Paul Mappings'!C3</f>
        <v>0</v>
      </c>
      <c r="L3" t="str">
        <f>IF('Paul Mappings'!D3=0,"",'Paul Mappings'!D3)</f>
        <v/>
      </c>
      <c r="O3">
        <f t="shared" ref="O3:O51" si="3">IF(SUBSTITUTE(G3," ","") = SUBSTITUTE(I3," ",""), 1, 0)</f>
        <v>0</v>
      </c>
      <c r="P3" cm="1">
        <f t="array" ref="P3">SUMPRODUCT(--(ISNUMBER(SEARCH({"0";"1";"2";"3";"4";"5";"6";"7";"8"},SUBSTITUTE(G3," ",""))) * ISNUMBER(SEARCH({"0";"1";"2";"3";"4";"5";"6";"7";"8"},SUBSTITUTE(I3," ","")))))</f>
        <v>0</v>
      </c>
      <c r="Q3">
        <f t="shared" si="0"/>
        <v>0</v>
      </c>
      <c r="R3" cm="1">
        <f t="array" ref="R3">SUMPRODUCT(--(ISNUMBER(SEARCH({"0";"1";"2";"3";"4";"5";"6";"7";"8"},SUBSTITUTE(C3," ",""))) * ISNUMBER(SEARCH({"0";"1";"2";"3";"4";"5";"6";"7";"8"},SUBSTITUTE(I3," ","")))))</f>
        <v>0</v>
      </c>
      <c r="S3">
        <f t="shared" si="1"/>
        <v>1</v>
      </c>
      <c r="T3" cm="1">
        <f t="array" ref="T3">SUMPRODUCT(--(ISNUMBER(SEARCH({"0";"1";"2";"3";"4";"5";"6";"7";"8"},SUBSTITUTE(C3," ",""))) * ISNUMBER(SEARCH({"0";"1";"2";"3";"4";"5";"6";"7";"8"},SUBSTITUTE(G3," ","")))))</f>
        <v>1</v>
      </c>
      <c r="U3">
        <f t="shared" ref="U3:U11" si="4">IF(SUBSTITUTE(K3," ","") = SUBSTITUTE(G3," ",""), 1, 0)</f>
        <v>1</v>
      </c>
      <c r="V3" cm="1">
        <f t="array" ref="V3">SUMPRODUCT(--(ISNUMBER(SEARCH({"0";"1";"2";"3";"4";"5";"6";"7";"8"},SUBSTITUTE(K3," ",""))) * ISNUMBER(SEARCH({"0";"1";"2";"3";"4";"5";"6";"7";"8"},SUBSTITUTE(G3," ","")))))</f>
        <v>1</v>
      </c>
      <c r="W3">
        <f t="shared" si="2"/>
        <v>1</v>
      </c>
      <c r="X3" cm="1">
        <f t="array" ref="X3">SUMPRODUCT(--(ISNUMBER(SEARCH({"0";"1";"2";"3";"4";"5";"6";"7";"8"},SUBSTITUTE(K3," ",""))) * ISNUMBER(SEARCH({"0";"1";"2";"3";"4";"5";"6";"7";"8"},SUBSTITUTE(C3," ","")))))</f>
        <v>1</v>
      </c>
      <c r="Y3">
        <f t="shared" ref="Y3:Y11" si="5">IF(SUBSTITUTE(K3," ","") = SUBSTITUTE(I3," ",""), 1, 0)</f>
        <v>0</v>
      </c>
      <c r="Z3" cm="1">
        <f t="array" ref="Z3">SUMPRODUCT(--(ISNUMBER(SEARCH({"0";"1";"2";"3";"4";"5";"6";"7";"8"},SUBSTITUTE(K3," ",""))) * ISNUMBER(SEARCH({"0";"1";"2";"3";"4";"5";"6";"7";"8"},SUBSTITUTE(I3," ","")))))</f>
        <v>0</v>
      </c>
      <c r="AA3" s="13">
        <f>AA2/50</f>
        <v>0.34</v>
      </c>
      <c r="AB3" s="13">
        <f>AB2/50</f>
        <v>0.62</v>
      </c>
    </row>
    <row r="4" spans="1:28" ht="34" x14ac:dyDescent="0.2">
      <c r="A4" t="s">
        <v>26</v>
      </c>
      <c r="B4" s="5" t="s">
        <v>27</v>
      </c>
      <c r="C4" s="8" t="s">
        <v>22</v>
      </c>
      <c r="D4">
        <v>1</v>
      </c>
      <c r="G4" s="8">
        <f>'Sara Mappings'!C4</f>
        <v>7</v>
      </c>
      <c r="H4" s="9" t="str">
        <f>IF('Sara Mappings'!D4=0,"",'Sara Mappings'!D4)</f>
        <v>A standard operating procedure is a set of step-by-step instructions compiled by an organization to help workers carry out routine operations. (This KD is not directly relating to the cybersecurity, so it can also be 0)</v>
      </c>
      <c r="I4">
        <f>'Valtteri Mappings'!C4</f>
        <v>7</v>
      </c>
      <c r="J4" t="str">
        <f>IF('Valtteri Mappings'!D4=0,"",'Valtteri Mappings'!D4)</f>
        <v/>
      </c>
      <c r="K4">
        <f>'Paul Mappings'!C4</f>
        <v>7.5</v>
      </c>
      <c r="L4" t="str">
        <f>IF('Paul Mappings'!D4=0,"",'Paul Mappings'!D4)</f>
        <v>Clear standardization (of procedures here) topic missing in the KAs</v>
      </c>
      <c r="O4">
        <f t="shared" si="3"/>
        <v>1</v>
      </c>
      <c r="P4" cm="1">
        <f t="array" ref="P4">SUMPRODUCT(--(ISNUMBER(SEARCH({"0";"1";"2";"3";"4";"5";"6";"7";"8"},SUBSTITUTE(G4," ",""))) * ISNUMBER(SEARCH({"0";"1";"2";"3";"4";"5";"6";"7";"8"},SUBSTITUTE(I4," ","")))))</f>
        <v>1</v>
      </c>
      <c r="Q4">
        <f t="shared" si="0"/>
        <v>1</v>
      </c>
      <c r="R4" cm="1">
        <f t="array" ref="R4">SUMPRODUCT(--(ISNUMBER(SEARCH({"0";"1";"2";"3";"4";"5";"6";"7";"8"},SUBSTITUTE(C4," ",""))) * ISNUMBER(SEARCH({"0";"1";"2";"3";"4";"5";"6";"7";"8"},SUBSTITUTE(I4," ","")))))</f>
        <v>1</v>
      </c>
      <c r="S4">
        <f t="shared" si="1"/>
        <v>1</v>
      </c>
      <c r="T4" cm="1">
        <f t="array" ref="T4">SUMPRODUCT(--(ISNUMBER(SEARCH({"0";"1";"2";"3";"4";"5";"6";"7";"8"},SUBSTITUTE(C4," ",""))) * ISNUMBER(SEARCH({"0";"1";"2";"3";"4";"5";"6";"7";"8"},SUBSTITUTE(G4," ","")))))</f>
        <v>1</v>
      </c>
      <c r="U4">
        <f t="shared" si="4"/>
        <v>0</v>
      </c>
      <c r="V4" cm="1">
        <f t="array" ref="V4">SUMPRODUCT(--(ISNUMBER(SEARCH({"0";"1";"2";"3";"4";"5";"6";"7";"8"},SUBSTITUTE(K4," ",""))) * ISNUMBER(SEARCH({"0";"1";"2";"3";"4";"5";"6";"7";"8"},SUBSTITUTE(G4," ","")))))</f>
        <v>1</v>
      </c>
      <c r="W4">
        <f t="shared" si="2"/>
        <v>0</v>
      </c>
      <c r="X4" cm="1">
        <f t="array" ref="X4">SUMPRODUCT(--(ISNUMBER(SEARCH({"0";"1";"2";"3";"4";"5";"6";"7";"8"},SUBSTITUTE(K4," ",""))) * ISNUMBER(SEARCH({"0";"1";"2";"3";"4";"5";"6";"7";"8"},SUBSTITUTE(C4," ","")))))</f>
        <v>1</v>
      </c>
      <c r="Y4">
        <f t="shared" si="5"/>
        <v>0</v>
      </c>
      <c r="Z4" cm="1">
        <f t="array" ref="Z4">SUMPRODUCT(--(ISNUMBER(SEARCH({"0";"1";"2";"3";"4";"5";"6";"7";"8"},SUBSTITUTE(K4," ",""))) * ISNUMBER(SEARCH({"0";"1";"2";"3";"4";"5";"6";"7";"8"},SUBSTITUTE(I4," ","")))))</f>
        <v>1</v>
      </c>
      <c r="AA4" t="s">
        <v>167</v>
      </c>
      <c r="AB4" t="s">
        <v>168</v>
      </c>
    </row>
    <row r="5" spans="1:28" ht="34" x14ac:dyDescent="0.2">
      <c r="A5" t="s">
        <v>28</v>
      </c>
      <c r="B5" s="5" t="s">
        <v>29</v>
      </c>
      <c r="C5" s="8" t="s">
        <v>30</v>
      </c>
      <c r="D5">
        <v>1</v>
      </c>
      <c r="G5" s="8">
        <f>'Sara Mappings'!C5</f>
        <v>4</v>
      </c>
      <c r="H5" s="9" t="str">
        <f>IF('Sara Mappings'!D5=0,"",'Sara Mappings'!D5)</f>
        <v>Systems fall under KA-4</v>
      </c>
      <c r="I5">
        <f>'Valtteri Mappings'!C5</f>
        <v>5</v>
      </c>
      <c r="J5" t="str">
        <f>IF('Valtteri Mappings'!D5=0,"",'Valtteri Mappings'!D5)</f>
        <v/>
      </c>
      <c r="K5">
        <f>'Paul Mappings'!C5</f>
        <v>5</v>
      </c>
      <c r="L5" t="str">
        <f>IF('Paul Mappings'!D5=0,"",'Paul Mappings'!D5)</f>
        <v/>
      </c>
      <c r="O5">
        <f t="shared" si="3"/>
        <v>0</v>
      </c>
      <c r="P5" cm="1">
        <f t="array" ref="P5">SUMPRODUCT(--(ISNUMBER(SEARCH({"0";"1";"2";"3";"4";"5";"6";"7";"8"},SUBSTITUTE(G5," ",""))) * ISNUMBER(SEARCH({"0";"1";"2";"3";"4";"5";"6";"7";"8"},SUBSTITUTE(I5," ","")))))</f>
        <v>0</v>
      </c>
      <c r="Q5">
        <f t="shared" si="0"/>
        <v>1</v>
      </c>
      <c r="R5" cm="1">
        <f t="array" ref="R5">SUMPRODUCT(--(ISNUMBER(SEARCH({"0";"1";"2";"3";"4";"5";"6";"7";"8"},SUBSTITUTE(C5," ",""))) * ISNUMBER(SEARCH({"0";"1";"2";"3";"4";"5";"6";"7";"8"},SUBSTITUTE(I5," ","")))))</f>
        <v>1</v>
      </c>
      <c r="S5">
        <f t="shared" si="1"/>
        <v>0</v>
      </c>
      <c r="T5" cm="1">
        <f t="array" ref="T5">SUMPRODUCT(--(ISNUMBER(SEARCH({"0";"1";"2";"3";"4";"5";"6";"7";"8"},SUBSTITUTE(C5," ",""))) * ISNUMBER(SEARCH({"0";"1";"2";"3";"4";"5";"6";"7";"8"},SUBSTITUTE(G5," ","")))))</f>
        <v>0</v>
      </c>
      <c r="U5">
        <f t="shared" si="4"/>
        <v>0</v>
      </c>
      <c r="V5" cm="1">
        <f t="array" ref="V5">SUMPRODUCT(--(ISNUMBER(SEARCH({"0";"1";"2";"3";"4";"5";"6";"7";"8"},SUBSTITUTE(K5," ",""))) * ISNUMBER(SEARCH({"0";"1";"2";"3";"4";"5";"6";"7";"8"},SUBSTITUTE(G5," ","")))))</f>
        <v>0</v>
      </c>
      <c r="W5">
        <f t="shared" si="2"/>
        <v>1</v>
      </c>
      <c r="X5" cm="1">
        <f t="array" ref="X5">SUMPRODUCT(--(ISNUMBER(SEARCH({"0";"1";"2";"3";"4";"5";"6";"7";"8"},SUBSTITUTE(K5," ",""))) * ISNUMBER(SEARCH({"0";"1";"2";"3";"4";"5";"6";"7";"8"},SUBSTITUTE(C5," ","")))))</f>
        <v>1</v>
      </c>
      <c r="Y5">
        <f t="shared" si="5"/>
        <v>1</v>
      </c>
      <c r="Z5" cm="1">
        <f t="array" ref="Z5">SUMPRODUCT(--(ISNUMBER(SEARCH({"0";"1";"2";"3";"4";"5";"6";"7";"8"},SUBSTITUTE(K5," ",""))) * ISNUMBER(SEARCH({"0";"1";"2";"3";"4";"5";"6";"7";"8"},SUBSTITUTE(I5," ","")))))</f>
        <v>1</v>
      </c>
      <c r="AA5">
        <f>SUM(Q2:Q51)</f>
        <v>21</v>
      </c>
      <c r="AB5">
        <f>SUM(R2:R51)</f>
        <v>39</v>
      </c>
    </row>
    <row r="6" spans="1:28" ht="34" x14ac:dyDescent="0.2">
      <c r="A6" t="s">
        <v>31</v>
      </c>
      <c r="B6" s="5" t="s">
        <v>32</v>
      </c>
      <c r="C6" s="8" t="s">
        <v>25</v>
      </c>
      <c r="D6">
        <v>1</v>
      </c>
      <c r="G6" s="8">
        <f>'Sara Mappings'!C6</f>
        <v>0</v>
      </c>
      <c r="H6" s="9" t="str">
        <f>IF('Sara Mappings'!D6=0,"",'Sara Mappings'!D6)</f>
        <v/>
      </c>
      <c r="I6">
        <f>'Valtteri Mappings'!C6</f>
        <v>0</v>
      </c>
      <c r="J6" t="str">
        <f>IF('Valtteri Mappings'!D6=0,"",'Valtteri Mappings'!D6)</f>
        <v/>
      </c>
      <c r="K6">
        <f>'Paul Mappings'!C6</f>
        <v>1.2</v>
      </c>
      <c r="L6" t="str">
        <f>IF('Paul Mappings'!D6=0,"",'Paul Mappings'!D6)</f>
        <v>implementation issues for 2</v>
      </c>
      <c r="O6">
        <f t="shared" si="3"/>
        <v>1</v>
      </c>
      <c r="P6" cm="1">
        <f t="array" ref="P6">SUMPRODUCT(--(ISNUMBER(SEARCH({"0";"1";"2";"3";"4";"5";"6";"7";"8"},SUBSTITUTE(G6," ",""))) * ISNUMBER(SEARCH({"0";"1";"2";"3";"4";"5";"6";"7";"8"},SUBSTITUTE(I6," ","")))))</f>
        <v>1</v>
      </c>
      <c r="Q6">
        <f t="shared" si="0"/>
        <v>1</v>
      </c>
      <c r="R6" cm="1">
        <f t="array" ref="R6">SUMPRODUCT(--(ISNUMBER(SEARCH({"0";"1";"2";"3";"4";"5";"6";"7";"8"},SUBSTITUTE(C6," ",""))) * ISNUMBER(SEARCH({"0";"1";"2";"3";"4";"5";"6";"7";"8"},SUBSTITUTE(I6," ","")))))</f>
        <v>1</v>
      </c>
      <c r="S6">
        <f t="shared" si="1"/>
        <v>1</v>
      </c>
      <c r="T6" cm="1">
        <f t="array" ref="T6">SUMPRODUCT(--(ISNUMBER(SEARCH({"0";"1";"2";"3";"4";"5";"6";"7";"8"},SUBSTITUTE(C6," ",""))) * ISNUMBER(SEARCH({"0";"1";"2";"3";"4";"5";"6";"7";"8"},SUBSTITUTE(G6," ","")))))</f>
        <v>1</v>
      </c>
      <c r="U6">
        <f t="shared" si="4"/>
        <v>0</v>
      </c>
      <c r="V6" cm="1">
        <f t="array" ref="V6">SUMPRODUCT(--(ISNUMBER(SEARCH({"0";"1";"2";"3";"4";"5";"6";"7";"8"},SUBSTITUTE(K6," ",""))) * ISNUMBER(SEARCH({"0";"1";"2";"3";"4";"5";"6";"7";"8"},SUBSTITUTE(G6," ","")))))</f>
        <v>0</v>
      </c>
      <c r="W6">
        <f t="shared" si="2"/>
        <v>0</v>
      </c>
      <c r="X6" cm="1">
        <f t="array" ref="X6">SUMPRODUCT(--(ISNUMBER(SEARCH({"0";"1";"2";"3";"4";"5";"6";"7";"8"},SUBSTITUTE(K6," ",""))) * ISNUMBER(SEARCH({"0";"1";"2";"3";"4";"5";"6";"7";"8"},SUBSTITUTE(C6," ","")))))</f>
        <v>0</v>
      </c>
      <c r="Y6">
        <f t="shared" si="5"/>
        <v>0</v>
      </c>
      <c r="Z6" cm="1">
        <f t="array" ref="Z6">SUMPRODUCT(--(ISNUMBER(SEARCH({"0";"1";"2";"3";"4";"5";"6";"7";"8"},SUBSTITUTE(K6," ",""))) * ISNUMBER(SEARCH({"0";"1";"2";"3";"4";"5";"6";"7";"8"},SUBSTITUTE(I6," ","")))))</f>
        <v>0</v>
      </c>
      <c r="AA6" s="13">
        <f>AA5/50</f>
        <v>0.42</v>
      </c>
      <c r="AB6" s="13">
        <f>AB5/50</f>
        <v>0.78</v>
      </c>
    </row>
    <row r="7" spans="1:28" ht="51" x14ac:dyDescent="0.2">
      <c r="A7" t="s">
        <v>33</v>
      </c>
      <c r="B7" s="5" t="s">
        <v>34</v>
      </c>
      <c r="C7" s="8" t="s">
        <v>35</v>
      </c>
      <c r="D7">
        <v>1</v>
      </c>
      <c r="G7" s="8">
        <f>'Sara Mappings'!C7</f>
        <v>7</v>
      </c>
      <c r="H7" s="9" t="str">
        <f>IF('Sara Mappings'!D7=0,"",'Sara Mappings'!D7)</f>
        <v/>
      </c>
      <c r="I7" t="str">
        <f>'Valtteri Mappings'!C7</f>
        <v>5, 7</v>
      </c>
      <c r="J7" t="str">
        <f>IF('Valtteri Mappings'!D7=0,"",'Valtteri Mappings'!D7)</f>
        <v/>
      </c>
      <c r="K7">
        <f>'Paul Mappings'!C7</f>
        <v>7</v>
      </c>
      <c r="L7" t="str">
        <f>IF('Paul Mappings'!D7=0,"",'Paul Mappings'!D7)</f>
        <v>Could be 4 also, depending on the architecture level</v>
      </c>
      <c r="O7">
        <f t="shared" si="3"/>
        <v>0</v>
      </c>
      <c r="P7" cm="1">
        <f t="array" ref="P7">SUMPRODUCT(--(ISNUMBER(SEARCH({"0";"1";"2";"3";"4";"5";"6";"7";"8"},SUBSTITUTE(G7," ",""))) * ISNUMBER(SEARCH({"0";"1";"2";"3";"4";"5";"6";"7";"8"},SUBSTITUTE(I7," ","")))))</f>
        <v>1</v>
      </c>
      <c r="Q7">
        <f t="shared" si="0"/>
        <v>1</v>
      </c>
      <c r="R7" cm="1">
        <f t="array" ref="R7">SUMPRODUCT(--(ISNUMBER(SEARCH({"0";"1";"2";"3";"4";"5";"6";"7";"8"},SUBSTITUTE(C7," ",""))) * ISNUMBER(SEARCH({"0";"1";"2";"3";"4";"5";"6";"7";"8"},SUBSTITUTE(I7," ","")))))</f>
        <v>2</v>
      </c>
      <c r="S7">
        <f t="shared" si="1"/>
        <v>0</v>
      </c>
      <c r="T7" cm="1">
        <f t="array" ref="T7">SUMPRODUCT(--(ISNUMBER(SEARCH({"0";"1";"2";"3";"4";"5";"6";"7";"8"},SUBSTITUTE(C7," ",""))) * ISNUMBER(SEARCH({"0";"1";"2";"3";"4";"5";"6";"7";"8"},SUBSTITUTE(G7," ","")))))</f>
        <v>1</v>
      </c>
      <c r="U7">
        <f t="shared" si="4"/>
        <v>1</v>
      </c>
      <c r="V7" cm="1">
        <f t="array" ref="V7">SUMPRODUCT(--(ISNUMBER(SEARCH({"0";"1";"2";"3";"4";"5";"6";"7";"8"},SUBSTITUTE(K7," ",""))) * ISNUMBER(SEARCH({"0";"1";"2";"3";"4";"5";"6";"7";"8"},SUBSTITUTE(G7," ","")))))</f>
        <v>1</v>
      </c>
      <c r="W7">
        <f t="shared" si="2"/>
        <v>0</v>
      </c>
      <c r="X7" cm="1">
        <f t="array" ref="X7">SUMPRODUCT(--(ISNUMBER(SEARCH({"0";"1";"2";"3";"4";"5";"6";"7";"8"},SUBSTITUTE(K7," ",""))) * ISNUMBER(SEARCH({"0";"1";"2";"3";"4";"5";"6";"7";"8"},SUBSTITUTE(C7," ","")))))</f>
        <v>1</v>
      </c>
      <c r="Y7">
        <f t="shared" si="5"/>
        <v>0</v>
      </c>
      <c r="Z7" cm="1">
        <f t="array" ref="Z7">SUMPRODUCT(--(ISNUMBER(SEARCH({"0";"1";"2";"3";"4";"5";"6";"7";"8"},SUBSTITUTE(K7," ",""))) * ISNUMBER(SEARCH({"0";"1";"2";"3";"4";"5";"6";"7";"8"},SUBSTITUTE(I7," ","")))))</f>
        <v>1</v>
      </c>
      <c r="AA7" t="s">
        <v>169</v>
      </c>
      <c r="AB7" t="s">
        <v>170</v>
      </c>
    </row>
    <row r="8" spans="1:28" ht="34" x14ac:dyDescent="0.2">
      <c r="A8" t="s">
        <v>36</v>
      </c>
      <c r="B8" s="5" t="s">
        <v>37</v>
      </c>
      <c r="C8" s="8" t="s">
        <v>25</v>
      </c>
      <c r="D8">
        <v>0</v>
      </c>
      <c r="G8" s="8">
        <f>'Sara Mappings'!C8</f>
        <v>4</v>
      </c>
      <c r="H8" s="9" t="str">
        <f>IF('Sara Mappings'!D8=0,"",'Sara Mappings'!D8)</f>
        <v/>
      </c>
      <c r="I8">
        <f>'Valtteri Mappings'!C8</f>
        <v>4</v>
      </c>
      <c r="J8" t="str">
        <f>IF('Valtteri Mappings'!D8=0,"",'Valtteri Mappings'!D8)</f>
        <v/>
      </c>
      <c r="K8" t="str">
        <f>'Paul Mappings'!C8</f>
        <v>4,0,1</v>
      </c>
      <c r="L8" t="str">
        <f>IF('Paul Mappings'!D8=0,"",'Paul Mappings'!D8)</f>
        <v>1 is a low level interpretation (data flow)</v>
      </c>
      <c r="O8">
        <f t="shared" si="3"/>
        <v>1</v>
      </c>
      <c r="P8" cm="1">
        <f t="array" ref="P8">SUMPRODUCT(--(ISNUMBER(SEARCH({"0";"1";"2";"3";"4";"5";"6";"7";"8"},SUBSTITUTE(G8," ",""))) * ISNUMBER(SEARCH({"0";"1";"2";"3";"4";"5";"6";"7";"8"},SUBSTITUTE(I8," ","")))))</f>
        <v>1</v>
      </c>
      <c r="Q8">
        <f t="shared" si="0"/>
        <v>0</v>
      </c>
      <c r="R8" cm="1">
        <f t="array" ref="R8">SUMPRODUCT(--(ISNUMBER(SEARCH({"0";"1";"2";"3";"4";"5";"6";"7";"8"},SUBSTITUTE(C8," ",""))) * ISNUMBER(SEARCH({"0";"1";"2";"3";"4";"5";"6";"7";"8"},SUBSTITUTE(I8," ","")))))</f>
        <v>0</v>
      </c>
      <c r="S8">
        <f t="shared" si="1"/>
        <v>0</v>
      </c>
      <c r="T8" cm="1">
        <f t="array" ref="T8">SUMPRODUCT(--(ISNUMBER(SEARCH({"0";"1";"2";"3";"4";"5";"6";"7";"8"},SUBSTITUTE(C8," ",""))) * ISNUMBER(SEARCH({"0";"1";"2";"3";"4";"5";"6";"7";"8"},SUBSTITUTE(G8," ","")))))</f>
        <v>0</v>
      </c>
      <c r="U8">
        <f t="shared" si="4"/>
        <v>0</v>
      </c>
      <c r="V8" cm="1">
        <f t="array" ref="V8">SUMPRODUCT(--(ISNUMBER(SEARCH({"0";"1";"2";"3";"4";"5";"6";"7";"8"},SUBSTITUTE(K8," ",""))) * ISNUMBER(SEARCH({"0";"1";"2";"3";"4";"5";"6";"7";"8"},SUBSTITUTE(G8," ","")))))</f>
        <v>1</v>
      </c>
      <c r="W8">
        <f t="shared" si="2"/>
        <v>0</v>
      </c>
      <c r="X8" cm="1">
        <f t="array" ref="X8">SUMPRODUCT(--(ISNUMBER(SEARCH({"0";"1";"2";"3";"4";"5";"6";"7";"8"},SUBSTITUTE(K8," ",""))) * ISNUMBER(SEARCH({"0";"1";"2";"3";"4";"5";"6";"7";"8"},SUBSTITUTE(C8," ","")))))</f>
        <v>1</v>
      </c>
      <c r="Y8">
        <f t="shared" si="5"/>
        <v>0</v>
      </c>
      <c r="Z8" cm="1">
        <f t="array" ref="Z8">SUMPRODUCT(--(ISNUMBER(SEARCH({"0";"1";"2";"3";"4";"5";"6";"7";"8"},SUBSTITUTE(K8," ",""))) * ISNUMBER(SEARCH({"0";"1";"2";"3";"4";"5";"6";"7";"8"},SUBSTITUTE(I8," ","")))))</f>
        <v>1</v>
      </c>
      <c r="AA8">
        <f>SUM(O2:O51)</f>
        <v>25</v>
      </c>
      <c r="AB8">
        <f>SUM(P2:P51)</f>
        <v>26</v>
      </c>
    </row>
    <row r="9" spans="1:28" ht="51" x14ac:dyDescent="0.2">
      <c r="A9" t="s">
        <v>38</v>
      </c>
      <c r="B9" s="5" t="s">
        <v>39</v>
      </c>
      <c r="C9" s="8" t="s">
        <v>40</v>
      </c>
      <c r="D9">
        <v>1</v>
      </c>
      <c r="G9" s="8">
        <f>'Sara Mappings'!C9</f>
        <v>0</v>
      </c>
      <c r="H9" s="9" t="str">
        <f>IF('Sara Mappings'!D9=0,"",'Sara Mappings'!D9)</f>
        <v>Falls under software development (Computer Science)</v>
      </c>
      <c r="I9">
        <f>'Valtteri Mappings'!C9</f>
        <v>0</v>
      </c>
      <c r="J9" t="str">
        <f>IF('Valtteri Mappings'!D9=0,"",'Valtteri Mappings'!D9)</f>
        <v/>
      </c>
      <c r="K9">
        <f>'Paul Mappings'!C9</f>
        <v>6</v>
      </c>
      <c r="L9" t="str">
        <f>IF('Paul Mappings'!D9=0,"",'Paul Mappings'!D9)</f>
        <v/>
      </c>
      <c r="O9">
        <f t="shared" si="3"/>
        <v>1</v>
      </c>
      <c r="P9" cm="1">
        <f t="array" ref="P9">SUMPRODUCT(--(ISNUMBER(SEARCH({"0";"1";"2";"3";"4";"5";"6";"7";"8"},SUBSTITUTE(G9," ",""))) * ISNUMBER(SEARCH({"0";"1";"2";"3";"4";"5";"6";"7";"8"},SUBSTITUTE(I9," ","")))))</f>
        <v>1</v>
      </c>
      <c r="Q9">
        <f t="shared" si="0"/>
        <v>0</v>
      </c>
      <c r="R9" cm="1">
        <f t="array" ref="R9">SUMPRODUCT(--(ISNUMBER(SEARCH({"0";"1";"2";"3";"4";"5";"6";"7";"8"},SUBSTITUTE(C9," ",""))) * ISNUMBER(SEARCH({"0";"1";"2";"3";"4";"5";"6";"7";"8"},SUBSTITUTE(I9," ","")))))</f>
        <v>1</v>
      </c>
      <c r="S9">
        <f t="shared" si="1"/>
        <v>0</v>
      </c>
      <c r="T9" cm="1">
        <f t="array" ref="T9">SUMPRODUCT(--(ISNUMBER(SEARCH({"0";"1";"2";"3";"4";"5";"6";"7";"8"},SUBSTITUTE(C9," ",""))) * ISNUMBER(SEARCH({"0";"1";"2";"3";"4";"5";"6";"7";"8"},SUBSTITUTE(G9," ","")))))</f>
        <v>1</v>
      </c>
      <c r="U9">
        <f t="shared" si="4"/>
        <v>0</v>
      </c>
      <c r="V9" cm="1">
        <f t="array" ref="V9">SUMPRODUCT(--(ISNUMBER(SEARCH({"0";"1";"2";"3";"4";"5";"6";"7";"8"},SUBSTITUTE(K9," ",""))) * ISNUMBER(SEARCH({"0";"1";"2";"3";"4";"5";"6";"7";"8"},SUBSTITUTE(G9," ","")))))</f>
        <v>0</v>
      </c>
      <c r="W9">
        <f t="shared" si="2"/>
        <v>0</v>
      </c>
      <c r="X9" cm="1">
        <f t="array" ref="X9">SUMPRODUCT(--(ISNUMBER(SEARCH({"0";"1";"2";"3";"4";"5";"6";"7";"8"},SUBSTITUTE(K9," ",""))) * ISNUMBER(SEARCH({"0";"1";"2";"3";"4";"5";"6";"7";"8"},SUBSTITUTE(C9," ","")))))</f>
        <v>1</v>
      </c>
      <c r="Y9">
        <f t="shared" si="5"/>
        <v>0</v>
      </c>
      <c r="Z9" cm="1">
        <f t="array" ref="Z9">SUMPRODUCT(--(ISNUMBER(SEARCH({"0";"1";"2";"3";"4";"5";"6";"7";"8"},SUBSTITUTE(K9," ",""))) * ISNUMBER(SEARCH({"0";"1";"2";"3";"4";"5";"6";"7";"8"},SUBSTITUTE(I9," ","")))))</f>
        <v>0</v>
      </c>
      <c r="AA9" s="13">
        <f>AA8/50</f>
        <v>0.5</v>
      </c>
      <c r="AB9" s="13">
        <f>AB8/50</f>
        <v>0.52</v>
      </c>
    </row>
    <row r="10" spans="1:28" ht="34" x14ac:dyDescent="0.2">
      <c r="A10" t="s">
        <v>41</v>
      </c>
      <c r="B10" s="5" t="s">
        <v>42</v>
      </c>
      <c r="C10" s="8" t="s">
        <v>30</v>
      </c>
      <c r="D10">
        <v>0</v>
      </c>
      <c r="G10" s="8">
        <f>'Sara Mappings'!C10</f>
        <v>4</v>
      </c>
      <c r="H10" s="9" t="str">
        <f>IF('Sara Mappings'!D10=0,"",'Sara Mappings'!D10)</f>
        <v>Network Defense</v>
      </c>
      <c r="I10">
        <f>'Valtteri Mappings'!C10</f>
        <v>5</v>
      </c>
      <c r="J10" t="str">
        <f>IF('Valtteri Mappings'!D10=0,"",'Valtteri Mappings'!D10)</f>
        <v/>
      </c>
      <c r="K10">
        <f>'Paul Mappings'!C10</f>
        <v>4</v>
      </c>
      <c r="L10" t="str">
        <f>IF('Paul Mappings'!D10=0,"",'Paul Mappings'!D10)</f>
        <v>Seems that a separate network security KA is "missing" but IDS included in 4. 0,5,2,1,3 also seem reasonable to me here.</v>
      </c>
      <c r="O10">
        <f t="shared" si="3"/>
        <v>0</v>
      </c>
      <c r="P10" cm="1">
        <f t="array" ref="P10">SUMPRODUCT(--(ISNUMBER(SEARCH({"0";"1";"2";"3";"4";"5";"6";"7";"8"},SUBSTITUTE(G10," ",""))) * ISNUMBER(SEARCH({"0";"1";"2";"3";"4";"5";"6";"7";"8"},SUBSTITUTE(I10," ","")))))</f>
        <v>0</v>
      </c>
      <c r="Q10">
        <f t="shared" si="0"/>
        <v>1</v>
      </c>
      <c r="R10" cm="1">
        <f t="array" ref="R10">SUMPRODUCT(--(ISNUMBER(SEARCH({"0";"1";"2";"3";"4";"5";"6";"7";"8"},SUBSTITUTE(C10," ",""))) * ISNUMBER(SEARCH({"0";"1";"2";"3";"4";"5";"6";"7";"8"},SUBSTITUTE(I10," ","")))))</f>
        <v>1</v>
      </c>
      <c r="S10">
        <f t="shared" si="1"/>
        <v>0</v>
      </c>
      <c r="T10" cm="1">
        <f t="array" ref="T10">SUMPRODUCT(--(ISNUMBER(SEARCH({"0";"1";"2";"3";"4";"5";"6";"7";"8"},SUBSTITUTE(C10," ",""))) * ISNUMBER(SEARCH({"0";"1";"2";"3";"4";"5";"6";"7";"8"},SUBSTITUTE(G10," ","")))))</f>
        <v>0</v>
      </c>
      <c r="U10">
        <f t="shared" si="4"/>
        <v>1</v>
      </c>
      <c r="V10" cm="1">
        <f t="array" ref="V10">SUMPRODUCT(--(ISNUMBER(SEARCH({"0";"1";"2";"3";"4";"5";"6";"7";"8"},SUBSTITUTE(K10," ",""))) * ISNUMBER(SEARCH({"0";"1";"2";"3";"4";"5";"6";"7";"8"},SUBSTITUTE(G10," ","")))))</f>
        <v>1</v>
      </c>
      <c r="W10">
        <f t="shared" si="2"/>
        <v>0</v>
      </c>
      <c r="X10" cm="1">
        <f t="array" ref="X10">SUMPRODUCT(--(ISNUMBER(SEARCH({"0";"1";"2";"3";"4";"5";"6";"7";"8"},SUBSTITUTE(K10," ",""))) * ISNUMBER(SEARCH({"0";"1";"2";"3";"4";"5";"6";"7";"8"},SUBSTITUTE(C10," ","")))))</f>
        <v>0</v>
      </c>
      <c r="Y10">
        <f t="shared" si="5"/>
        <v>0</v>
      </c>
      <c r="Z10" cm="1">
        <f t="array" ref="Z10">SUMPRODUCT(--(ISNUMBER(SEARCH({"0";"1";"2";"3";"4";"5";"6";"7";"8"},SUBSTITUTE(K10," ",""))) * ISNUMBER(SEARCH({"0";"1";"2";"3";"4";"5";"6";"7";"8"},SUBSTITUTE(I10," ","")))))</f>
        <v>0</v>
      </c>
      <c r="AA10" t="s">
        <v>218</v>
      </c>
      <c r="AB10" t="s">
        <v>221</v>
      </c>
    </row>
    <row r="11" spans="1:28" ht="51" x14ac:dyDescent="0.2">
      <c r="A11" t="s">
        <v>43</v>
      </c>
      <c r="B11" s="5" t="s">
        <v>44</v>
      </c>
      <c r="C11" s="8" t="s">
        <v>25</v>
      </c>
      <c r="D11">
        <v>1</v>
      </c>
      <c r="G11" s="8">
        <f>'Sara Mappings'!C11</f>
        <v>0</v>
      </c>
      <c r="H11" s="9" t="str">
        <f>IF('Sara Mappings'!D11=0,"",'Sara Mappings'!D11)</f>
        <v/>
      </c>
      <c r="I11">
        <f>'Valtteri Mappings'!C11</f>
        <v>0</v>
      </c>
      <c r="J11" t="str">
        <f>IF('Valtteri Mappings'!D11=0,"",'Valtteri Mappings'!D11)</f>
        <v/>
      </c>
      <c r="K11">
        <f>'Paul Mappings'!C11</f>
        <v>5</v>
      </c>
      <c r="L11" t="str">
        <f>IF('Paul Mappings'!D11=0,"",'Paul Mappings'!D11)</f>
        <v>Bell-LaPadula …? 0 for Information Technology (wide topic)</v>
      </c>
      <c r="O11">
        <f t="shared" si="3"/>
        <v>1</v>
      </c>
      <c r="P11" cm="1">
        <f t="array" ref="P11">SUMPRODUCT(--(ISNUMBER(SEARCH({"0";"1";"2";"3";"4";"5";"6";"7";"8"},SUBSTITUTE(G11," ",""))) * ISNUMBER(SEARCH({"0";"1";"2";"3";"4";"5";"6";"7";"8"},SUBSTITUTE(I11," ","")))))</f>
        <v>1</v>
      </c>
      <c r="Q11">
        <f t="shared" si="0"/>
        <v>1</v>
      </c>
      <c r="R11" cm="1">
        <f t="array" ref="R11">SUMPRODUCT(--(ISNUMBER(SEARCH({"0";"1";"2";"3";"4";"5";"6";"7";"8"},SUBSTITUTE(C11," ",""))) * ISNUMBER(SEARCH({"0";"1";"2";"3";"4";"5";"6";"7";"8"},SUBSTITUTE(I11," ","")))))</f>
        <v>1</v>
      </c>
      <c r="S11">
        <f t="shared" si="1"/>
        <v>1</v>
      </c>
      <c r="T11" cm="1">
        <f t="array" ref="T11">SUMPRODUCT(--(ISNUMBER(SEARCH({"0";"1";"2";"3";"4";"5";"6";"7";"8"},SUBSTITUTE(C11," ",""))) * ISNUMBER(SEARCH({"0";"1";"2";"3";"4";"5";"6";"7";"8"},SUBSTITUTE(G11," ","")))))</f>
        <v>1</v>
      </c>
      <c r="U11">
        <f t="shared" si="4"/>
        <v>0</v>
      </c>
      <c r="V11" cm="1">
        <f t="array" ref="V11">SUMPRODUCT(--(ISNUMBER(SEARCH({"0";"1";"2";"3";"4";"5";"6";"7";"8"},SUBSTITUTE(K11," ",""))) * ISNUMBER(SEARCH({"0";"1";"2";"3";"4";"5";"6";"7";"8"},SUBSTITUTE(G11," ","")))))</f>
        <v>0</v>
      </c>
      <c r="W11">
        <f t="shared" si="2"/>
        <v>0</v>
      </c>
      <c r="X11" cm="1">
        <f t="array" ref="X11">SUMPRODUCT(--(ISNUMBER(SEARCH({"0";"1";"2";"3";"4";"5";"6";"7";"8"},SUBSTITUTE(K11," ",""))) * ISNUMBER(SEARCH({"0";"1";"2";"3";"4";"5";"6";"7";"8"},SUBSTITUTE(C11," ","")))))</f>
        <v>0</v>
      </c>
      <c r="Y11">
        <f t="shared" si="5"/>
        <v>0</v>
      </c>
      <c r="Z11" cm="1">
        <f t="array" ref="Z11">SUMPRODUCT(--(ISNUMBER(SEARCH({"0";"1";"2";"3";"4";"5";"6";"7";"8"},SUBSTITUTE(K11," ",""))) * ISNUMBER(SEARCH({"0";"1";"2";"3";"4";"5";"6";"7";"8"},SUBSTITUTE(I11," ","")))))</f>
        <v>0</v>
      </c>
      <c r="AA11">
        <f>SUM(W2:W51)</f>
        <v>12</v>
      </c>
      <c r="AB11" cm="1">
        <f t="array" ref="AB11">SUMPRODUCT(--(X2:X51&gt;=1))</f>
        <v>32</v>
      </c>
    </row>
    <row r="12" spans="1:28" ht="34" x14ac:dyDescent="0.2">
      <c r="A12" t="s">
        <v>45</v>
      </c>
      <c r="B12" s="5" t="s">
        <v>46</v>
      </c>
      <c r="C12" s="8" t="s">
        <v>25</v>
      </c>
      <c r="D12">
        <v>0</v>
      </c>
      <c r="E12">
        <v>1</v>
      </c>
      <c r="F12">
        <v>0</v>
      </c>
      <c r="G12" s="8">
        <f>'Sara Mappings'!C12</f>
        <v>3</v>
      </c>
      <c r="H12" s="9" t="str">
        <f>IF('Sara Mappings'!D12=0,"",'Sara Mappings'!D12)</f>
        <v>Component Design (it can also be 0, as part of CS)</v>
      </c>
      <c r="I12">
        <f>'Valtteri Mappings'!C12</f>
        <v>0</v>
      </c>
      <c r="J12" t="str">
        <f>IF('Valtteri Mappings'!D12=0,"",'Valtteri Mappings'!D12)</f>
        <v/>
      </c>
      <c r="K12">
        <f>'Paul Mappings'!C12</f>
        <v>5</v>
      </c>
      <c r="L12" t="str">
        <f>IF('Paul Mappings'!D12=0,"",'Paul Mappings'!D12)</f>
        <v/>
      </c>
      <c r="O12">
        <f t="shared" si="3"/>
        <v>0</v>
      </c>
      <c r="P12" cm="1">
        <f t="array" ref="P12">SUMPRODUCT(--(ISNUMBER(SEARCH({"0";"1";"2";"3";"4";"5";"6";"7";"8"},SUBSTITUTE(G12," ",""))) * ISNUMBER(SEARCH({"0";"1";"2";"3";"4";"5";"6";"7";"8"},SUBSTITUTE(I12," ","")))))</f>
        <v>0</v>
      </c>
      <c r="Q12">
        <f t="shared" si="0"/>
        <v>1</v>
      </c>
      <c r="R12" cm="1">
        <f t="array" ref="R12">SUMPRODUCT(--(ISNUMBER(SEARCH({"0";"1";"2";"3";"4";"5";"6";"7";"8"},SUBSTITUTE(C12," ",""))) * ISNUMBER(SEARCH({"0";"1";"2";"3";"4";"5";"6";"7";"8"},SUBSTITUTE(I12," ","")))))</f>
        <v>1</v>
      </c>
      <c r="S12">
        <f t="shared" si="1"/>
        <v>0</v>
      </c>
      <c r="T12" cm="1">
        <f t="array" ref="T12">SUMPRODUCT(--(ISNUMBER(SEARCH({"0";"1";"2";"3";"4";"5";"6";"7";"8"},SUBSTITUTE(C12," ",""))) * ISNUMBER(SEARCH({"0";"1";"2";"3";"4";"5";"6";"7";"8"},SUBSTITUTE(G12," ","")))))</f>
        <v>0</v>
      </c>
      <c r="U12">
        <f t="shared" ref="U12:U51" si="6">IF(SUBSTITUTE(K12," ","") = SUBSTITUTE(G12," ",""), 1, 0)</f>
        <v>0</v>
      </c>
      <c r="V12" cm="1">
        <f t="array" ref="V12">SUMPRODUCT(--(ISNUMBER(SEARCH({"0";"1";"2";"3";"4";"5";"6";"7";"8"},SUBSTITUTE(K12," ",""))) * ISNUMBER(SEARCH({"0";"1";"2";"3";"4";"5";"6";"7";"8"},SUBSTITUTE(G12," ","")))))</f>
        <v>0</v>
      </c>
      <c r="W12">
        <f t="shared" si="2"/>
        <v>0</v>
      </c>
      <c r="X12" cm="1">
        <f t="array" ref="X12">SUMPRODUCT(--(ISNUMBER(SEARCH({"0";"1";"2";"3";"4";"5";"6";"7";"8"},SUBSTITUTE(K12," ",""))) * ISNUMBER(SEARCH({"0";"1";"2";"3";"4";"5";"6";"7";"8"},SUBSTITUTE(C12," ","")))))</f>
        <v>0</v>
      </c>
      <c r="Y12">
        <f t="shared" ref="Y12:Y51" si="7">IF(SUBSTITUTE(K12," ","") = SUBSTITUTE(I12," ",""), 1, 0)</f>
        <v>0</v>
      </c>
      <c r="Z12" cm="1">
        <f t="array" ref="Z12">SUMPRODUCT(--(ISNUMBER(SEARCH({"0";"1";"2";"3";"4";"5";"6";"7";"8"},SUBSTITUTE(K12," ",""))) * ISNUMBER(SEARCH({"0";"1";"2";"3";"4";"5";"6";"7";"8"},SUBSTITUTE(I12," ","")))))</f>
        <v>0</v>
      </c>
      <c r="AA12" s="13">
        <f>AA11/50</f>
        <v>0.24</v>
      </c>
      <c r="AB12" s="13">
        <f>AB11/50</f>
        <v>0.64</v>
      </c>
    </row>
    <row r="13" spans="1:28" ht="34" x14ac:dyDescent="0.2">
      <c r="A13" t="s">
        <v>47</v>
      </c>
      <c r="B13" s="5" t="s">
        <v>48</v>
      </c>
      <c r="C13" s="8" t="s">
        <v>49</v>
      </c>
      <c r="D13">
        <v>1</v>
      </c>
      <c r="G13" s="8">
        <f>'Sara Mappings'!C13</f>
        <v>2</v>
      </c>
      <c r="H13" s="9" t="str">
        <f>IF('Sara Mappings'!D13=0,"",'Sara Mappings'!D13)</f>
        <v>it can also be 0, as part of CS</v>
      </c>
      <c r="I13">
        <f>'Valtteri Mappings'!C13</f>
        <v>0</v>
      </c>
      <c r="J13" t="str">
        <f>IF('Valtteri Mappings'!D13=0,"",'Valtteri Mappings'!D13)</f>
        <v/>
      </c>
      <c r="K13">
        <f>'Paul Mappings'!C13</f>
        <v>2</v>
      </c>
      <c r="L13" t="str">
        <f>IF('Paul Mappings'!D13=0,"",'Paul Mappings'!D13)</f>
        <v/>
      </c>
      <c r="O13">
        <f t="shared" si="3"/>
        <v>0</v>
      </c>
      <c r="P13" cm="1">
        <f t="array" ref="P13">SUMPRODUCT(--(ISNUMBER(SEARCH({"0";"1";"2";"3";"4";"5";"6";"7";"8"},SUBSTITUTE(G13," ",""))) * ISNUMBER(SEARCH({"0";"1";"2";"3";"4";"5";"6";"7";"8"},SUBSTITUTE(I13," ","")))))</f>
        <v>0</v>
      </c>
      <c r="Q13">
        <f t="shared" si="0"/>
        <v>0</v>
      </c>
      <c r="R13" cm="1">
        <f t="array" ref="R13">SUMPRODUCT(--(ISNUMBER(SEARCH({"0";"1";"2";"3";"4";"5";"6";"7";"8"},SUBSTITUTE(C13," ",""))) * ISNUMBER(SEARCH({"0";"1";"2";"3";"4";"5";"6";"7";"8"},SUBSTITUTE(I13," ","")))))</f>
        <v>1</v>
      </c>
      <c r="S13">
        <f t="shared" si="1"/>
        <v>0</v>
      </c>
      <c r="T13" cm="1">
        <f t="array" ref="T13">SUMPRODUCT(--(ISNUMBER(SEARCH({"0";"1";"2";"3";"4";"5";"6";"7";"8"},SUBSTITUTE(C13," ",""))) * ISNUMBER(SEARCH({"0";"1";"2";"3";"4";"5";"6";"7";"8"},SUBSTITUTE(G13," ","")))))</f>
        <v>1</v>
      </c>
      <c r="U13">
        <f t="shared" si="6"/>
        <v>1</v>
      </c>
      <c r="V13" cm="1">
        <f t="array" ref="V13">SUMPRODUCT(--(ISNUMBER(SEARCH({"0";"1";"2";"3";"4";"5";"6";"7";"8"},SUBSTITUTE(K13," ",""))) * ISNUMBER(SEARCH({"0";"1";"2";"3";"4";"5";"6";"7";"8"},SUBSTITUTE(G13," ","")))))</f>
        <v>1</v>
      </c>
      <c r="W13">
        <f t="shared" si="2"/>
        <v>0</v>
      </c>
      <c r="X13" cm="1">
        <f t="array" ref="X13">SUMPRODUCT(--(ISNUMBER(SEARCH({"0";"1";"2";"3";"4";"5";"6";"7";"8"},SUBSTITUTE(K13," ",""))) * ISNUMBER(SEARCH({"0";"1";"2";"3";"4";"5";"6";"7";"8"},SUBSTITUTE(C13," ","")))))</f>
        <v>1</v>
      </c>
      <c r="Y13">
        <f t="shared" si="7"/>
        <v>0</v>
      </c>
      <c r="Z13" cm="1">
        <f t="array" ref="Z13">SUMPRODUCT(--(ISNUMBER(SEARCH({"0";"1";"2";"3";"4";"5";"6";"7";"8"},SUBSTITUTE(K13," ",""))) * ISNUMBER(SEARCH({"0";"1";"2";"3";"4";"5";"6";"7";"8"},SUBSTITUTE(I13," ","")))))</f>
        <v>0</v>
      </c>
      <c r="AA13" t="s">
        <v>219</v>
      </c>
      <c r="AB13" t="s">
        <v>222</v>
      </c>
    </row>
    <row r="14" spans="1:28" ht="34" x14ac:dyDescent="0.2">
      <c r="A14" t="s">
        <v>50</v>
      </c>
      <c r="B14" s="5" t="s">
        <v>51</v>
      </c>
      <c r="C14" s="8" t="s">
        <v>25</v>
      </c>
      <c r="D14">
        <v>1</v>
      </c>
      <c r="G14" s="8">
        <f>'Sara Mappings'!C14</f>
        <v>0</v>
      </c>
      <c r="H14" s="9" t="str">
        <f>IF('Sara Mappings'!D14=0,"",'Sara Mappings'!D14)</f>
        <v>Communication and Networking</v>
      </c>
      <c r="I14">
        <f>'Valtteri Mappings'!C14</f>
        <v>0</v>
      </c>
      <c r="J14" t="str">
        <f>IF('Valtteri Mappings'!D14=0,"",'Valtteri Mappings'!D14)</f>
        <v/>
      </c>
      <c r="K14">
        <f>'Paul Mappings'!C14</f>
        <v>0</v>
      </c>
      <c r="L14" t="str">
        <f>IF('Paul Mappings'!D14=0,"",'Paul Mappings'!D14)</f>
        <v>o for communication and networking. No clear KA, 1,4 might also be appropriate</v>
      </c>
      <c r="O14">
        <f t="shared" si="3"/>
        <v>1</v>
      </c>
      <c r="P14" cm="1">
        <f t="array" ref="P14">SUMPRODUCT(--(ISNUMBER(SEARCH({"0";"1";"2";"3";"4";"5";"6";"7";"8"},SUBSTITUTE(G14," ",""))) * ISNUMBER(SEARCH({"0";"1";"2";"3";"4";"5";"6";"7";"8"},SUBSTITUTE(I14," ","")))))</f>
        <v>1</v>
      </c>
      <c r="Q14">
        <f t="shared" si="0"/>
        <v>1</v>
      </c>
      <c r="R14" cm="1">
        <f t="array" ref="R14">SUMPRODUCT(--(ISNUMBER(SEARCH({"0";"1";"2";"3";"4";"5";"6";"7";"8"},SUBSTITUTE(C14," ",""))) * ISNUMBER(SEARCH({"0";"1";"2";"3";"4";"5";"6";"7";"8"},SUBSTITUTE(I14," ","")))))</f>
        <v>1</v>
      </c>
      <c r="S14">
        <f t="shared" si="1"/>
        <v>1</v>
      </c>
      <c r="T14" cm="1">
        <f t="array" ref="T14">SUMPRODUCT(--(ISNUMBER(SEARCH({"0";"1";"2";"3";"4";"5";"6";"7";"8"},SUBSTITUTE(C14," ",""))) * ISNUMBER(SEARCH({"0";"1";"2";"3";"4";"5";"6";"7";"8"},SUBSTITUTE(G14," ","")))))</f>
        <v>1</v>
      </c>
      <c r="U14">
        <f t="shared" si="6"/>
        <v>1</v>
      </c>
      <c r="V14" cm="1">
        <f t="array" ref="V14">SUMPRODUCT(--(ISNUMBER(SEARCH({"0";"1";"2";"3";"4";"5";"6";"7";"8"},SUBSTITUTE(K14," ",""))) * ISNUMBER(SEARCH({"0";"1";"2";"3";"4";"5";"6";"7";"8"},SUBSTITUTE(G14," ","")))))</f>
        <v>1</v>
      </c>
      <c r="W14">
        <f t="shared" si="2"/>
        <v>1</v>
      </c>
      <c r="X14" cm="1">
        <f t="array" ref="X14">SUMPRODUCT(--(ISNUMBER(SEARCH({"0";"1";"2";"3";"4";"5";"6";"7";"8"},SUBSTITUTE(K14," ",""))) * ISNUMBER(SEARCH({"0";"1";"2";"3";"4";"5";"6";"7";"8"},SUBSTITUTE(C14," ","")))))</f>
        <v>1</v>
      </c>
      <c r="Y14">
        <f t="shared" si="7"/>
        <v>1</v>
      </c>
      <c r="Z14" cm="1">
        <f t="array" ref="Z14">SUMPRODUCT(--(ISNUMBER(SEARCH({"0";"1";"2";"3";"4";"5";"6";"7";"8"},SUBSTITUTE(K14," ",""))) * ISNUMBER(SEARCH({"0";"1";"2";"3";"4";"5";"6";"7";"8"},SUBSTITUTE(I14," ","")))))</f>
        <v>1</v>
      </c>
      <c r="AA14">
        <f>SUM(U2:U51)</f>
        <v>21</v>
      </c>
      <c r="AB14" cm="1">
        <f t="array" ref="AB14">SUMPRODUCT(--(V2:V51&gt;=1))</f>
        <v>27</v>
      </c>
    </row>
    <row r="15" spans="1:28" ht="34" x14ac:dyDescent="0.2">
      <c r="A15" t="s">
        <v>52</v>
      </c>
      <c r="B15" s="5" t="s">
        <v>53</v>
      </c>
      <c r="C15" s="8" t="s">
        <v>25</v>
      </c>
      <c r="D15">
        <v>1</v>
      </c>
      <c r="G15" s="8">
        <f>'Sara Mappings'!C15</f>
        <v>0</v>
      </c>
      <c r="H15" s="9" t="str">
        <f>IF('Sara Mappings'!D15=0,"",'Sara Mappings'!D15)</f>
        <v>IT</v>
      </c>
      <c r="I15">
        <f>'Valtteri Mappings'!C15</f>
        <v>0</v>
      </c>
      <c r="J15" t="str">
        <f>IF('Valtteri Mappings'!D15=0,"",'Valtteri Mappings'!D15)</f>
        <v/>
      </c>
      <c r="K15">
        <f>'Paul Mappings'!C15</f>
        <v>0</v>
      </c>
      <c r="L15" t="str">
        <f>IF('Paul Mappings'!D15=0,"",'Paul Mappings'!D15)</f>
        <v>5,1 also?</v>
      </c>
      <c r="O15">
        <f t="shared" si="3"/>
        <v>1</v>
      </c>
      <c r="P15" cm="1">
        <f t="array" ref="P15">SUMPRODUCT(--(ISNUMBER(SEARCH({"0";"1";"2";"3";"4";"5";"6";"7";"8"},SUBSTITUTE(G15," ",""))) * ISNUMBER(SEARCH({"0";"1";"2";"3";"4";"5";"6";"7";"8"},SUBSTITUTE(I15," ","")))))</f>
        <v>1</v>
      </c>
      <c r="Q15">
        <f t="shared" si="0"/>
        <v>1</v>
      </c>
      <c r="R15" cm="1">
        <f t="array" ref="R15">SUMPRODUCT(--(ISNUMBER(SEARCH({"0";"1";"2";"3";"4";"5";"6";"7";"8"},SUBSTITUTE(C15," ",""))) * ISNUMBER(SEARCH({"0";"1";"2";"3";"4";"5";"6";"7";"8"},SUBSTITUTE(I15," ","")))))</f>
        <v>1</v>
      </c>
      <c r="S15">
        <f t="shared" si="1"/>
        <v>1</v>
      </c>
      <c r="T15" cm="1">
        <f t="array" ref="T15">SUMPRODUCT(--(ISNUMBER(SEARCH({"0";"1";"2";"3";"4";"5";"6";"7";"8"},SUBSTITUTE(C15," ",""))) * ISNUMBER(SEARCH({"0";"1";"2";"3";"4";"5";"6";"7";"8"},SUBSTITUTE(G15," ","")))))</f>
        <v>1</v>
      </c>
      <c r="U15">
        <f t="shared" si="6"/>
        <v>1</v>
      </c>
      <c r="V15" cm="1">
        <f t="array" ref="V15">SUMPRODUCT(--(ISNUMBER(SEARCH({"0";"1";"2";"3";"4";"5";"6";"7";"8"},SUBSTITUTE(K15," ",""))) * ISNUMBER(SEARCH({"0";"1";"2";"3";"4";"5";"6";"7";"8"},SUBSTITUTE(G15," ","")))))</f>
        <v>1</v>
      </c>
      <c r="W15">
        <f t="shared" si="2"/>
        <v>1</v>
      </c>
      <c r="X15" cm="1">
        <f t="array" ref="X15">SUMPRODUCT(--(ISNUMBER(SEARCH({"0";"1";"2";"3";"4";"5";"6";"7";"8"},SUBSTITUTE(K15," ",""))) * ISNUMBER(SEARCH({"0";"1";"2";"3";"4";"5";"6";"7";"8"},SUBSTITUTE(C15," ","")))))</f>
        <v>1</v>
      </c>
      <c r="Y15">
        <f t="shared" si="7"/>
        <v>1</v>
      </c>
      <c r="Z15" cm="1">
        <f t="array" ref="Z15">SUMPRODUCT(--(ISNUMBER(SEARCH({"0";"1";"2";"3";"4";"5";"6";"7";"8"},SUBSTITUTE(K15," ",""))) * ISNUMBER(SEARCH({"0";"1";"2";"3";"4";"5";"6";"7";"8"},SUBSTITUTE(I15," ","")))))</f>
        <v>1</v>
      </c>
      <c r="AA15" s="13">
        <f>AA14/50</f>
        <v>0.42</v>
      </c>
      <c r="AB15" s="13">
        <f>AB14/50</f>
        <v>0.54</v>
      </c>
    </row>
    <row r="16" spans="1:28" ht="34" x14ac:dyDescent="0.2">
      <c r="A16" t="s">
        <v>54</v>
      </c>
      <c r="B16" s="5" t="s">
        <v>55</v>
      </c>
      <c r="C16" s="8" t="s">
        <v>25</v>
      </c>
      <c r="D16">
        <v>1</v>
      </c>
      <c r="G16" s="8">
        <f>'Sara Mappings'!C16</f>
        <v>0</v>
      </c>
      <c r="H16" s="9" t="str">
        <f>IF('Sara Mappings'!D16=0,"",'Sara Mappings'!D16)</f>
        <v>Business and Law</v>
      </c>
      <c r="I16">
        <f>'Valtteri Mappings'!C16</f>
        <v>0</v>
      </c>
      <c r="J16" t="str">
        <f>IF('Valtteri Mappings'!D16=0,"",'Valtteri Mappings'!D16)</f>
        <v/>
      </c>
      <c r="K16">
        <f>'Paul Mappings'!C16</f>
        <v>0</v>
      </c>
      <c r="L16" t="str">
        <f>IF('Paul Mappings'!D16=0,"",'Paul Mappings'!D16)</f>
        <v>?</v>
      </c>
      <c r="O16">
        <f t="shared" si="3"/>
        <v>1</v>
      </c>
      <c r="P16" cm="1">
        <f t="array" ref="P16">SUMPRODUCT(--(ISNUMBER(SEARCH({"0";"1";"2";"3";"4";"5";"6";"7";"8"},SUBSTITUTE(G16," ",""))) * ISNUMBER(SEARCH({"0";"1";"2";"3";"4";"5";"6";"7";"8"},SUBSTITUTE(I16," ","")))))</f>
        <v>1</v>
      </c>
      <c r="Q16">
        <f t="shared" si="0"/>
        <v>1</v>
      </c>
      <c r="R16" cm="1">
        <f t="array" ref="R16">SUMPRODUCT(--(ISNUMBER(SEARCH({"0";"1";"2";"3";"4";"5";"6";"7";"8"},SUBSTITUTE(C16," ",""))) * ISNUMBER(SEARCH({"0";"1";"2";"3";"4";"5";"6";"7";"8"},SUBSTITUTE(I16," ","")))))</f>
        <v>1</v>
      </c>
      <c r="S16">
        <f t="shared" si="1"/>
        <v>1</v>
      </c>
      <c r="T16" cm="1">
        <f t="array" ref="T16">SUMPRODUCT(--(ISNUMBER(SEARCH({"0";"1";"2";"3";"4";"5";"6";"7";"8"},SUBSTITUTE(C16," ",""))) * ISNUMBER(SEARCH({"0";"1";"2";"3";"4";"5";"6";"7";"8"},SUBSTITUTE(G16," ","")))))</f>
        <v>1</v>
      </c>
      <c r="U16">
        <f t="shared" si="6"/>
        <v>1</v>
      </c>
      <c r="V16" cm="1">
        <f t="array" ref="V16">SUMPRODUCT(--(ISNUMBER(SEARCH({"0";"1";"2";"3";"4";"5";"6";"7";"8"},SUBSTITUTE(K16," ",""))) * ISNUMBER(SEARCH({"0";"1";"2";"3";"4";"5";"6";"7";"8"},SUBSTITUTE(G16," ","")))))</f>
        <v>1</v>
      </c>
      <c r="W16">
        <f t="shared" si="2"/>
        <v>1</v>
      </c>
      <c r="X16" cm="1">
        <f t="array" ref="X16">SUMPRODUCT(--(ISNUMBER(SEARCH({"0";"1";"2";"3";"4";"5";"6";"7";"8"},SUBSTITUTE(K16," ",""))) * ISNUMBER(SEARCH({"0";"1";"2";"3";"4";"5";"6";"7";"8"},SUBSTITUTE(C16," ","")))))</f>
        <v>1</v>
      </c>
      <c r="Y16">
        <f t="shared" si="7"/>
        <v>1</v>
      </c>
      <c r="Z16" cm="1">
        <f t="array" ref="Z16">SUMPRODUCT(--(ISNUMBER(SEARCH({"0";"1";"2";"3";"4";"5";"6";"7";"8"},SUBSTITUTE(K16," ",""))) * ISNUMBER(SEARCH({"0";"1";"2";"3";"4";"5";"6";"7";"8"},SUBSTITUTE(I16," ","")))))</f>
        <v>1</v>
      </c>
      <c r="AA16" t="s">
        <v>220</v>
      </c>
      <c r="AB16" t="s">
        <v>223</v>
      </c>
    </row>
    <row r="17" spans="1:28" ht="34" x14ac:dyDescent="0.2">
      <c r="A17" t="s">
        <v>56</v>
      </c>
      <c r="B17" s="5" t="s">
        <v>57</v>
      </c>
      <c r="C17" s="8" t="s">
        <v>58</v>
      </c>
      <c r="D17">
        <v>1</v>
      </c>
      <c r="G17" s="8">
        <f>'Sara Mappings'!C17</f>
        <v>0</v>
      </c>
      <c r="H17" s="9" t="str">
        <f>IF('Sara Mappings'!D17=0,"",'Sara Mappings'!D17)</f>
        <v/>
      </c>
      <c r="I17">
        <f>'Valtteri Mappings'!C17</f>
        <v>0</v>
      </c>
      <c r="J17" t="str">
        <f>IF('Valtteri Mappings'!D17=0,"",'Valtteri Mappings'!D17)</f>
        <v/>
      </c>
      <c r="K17">
        <f>'Paul Mappings'!C17</f>
        <v>0</v>
      </c>
      <c r="L17" t="str">
        <f>IF('Paul Mappings'!D17=0,"",'Paul Mappings'!D17)</f>
        <v>educational program, computer program,...?</v>
      </c>
      <c r="O17">
        <f t="shared" si="3"/>
        <v>1</v>
      </c>
      <c r="P17" cm="1">
        <f t="array" ref="P17">SUMPRODUCT(--(ISNUMBER(SEARCH({"0";"1";"2";"3";"4";"5";"6";"7";"8"},SUBSTITUTE(G17," ",""))) * ISNUMBER(SEARCH({"0";"1";"2";"3";"4";"5";"6";"7";"8"},SUBSTITUTE(I17," ","")))))</f>
        <v>1</v>
      </c>
      <c r="Q17">
        <f t="shared" si="0"/>
        <v>0</v>
      </c>
      <c r="R17" cm="1">
        <f t="array" ref="R17">SUMPRODUCT(--(ISNUMBER(SEARCH({"0";"1";"2";"3";"4";"5";"6";"7";"8"},SUBSTITUTE(C17," ",""))) * ISNUMBER(SEARCH({"0";"1";"2";"3";"4";"5";"6";"7";"8"},SUBSTITUTE(I17," ","")))))</f>
        <v>1</v>
      </c>
      <c r="S17">
        <f t="shared" si="1"/>
        <v>0</v>
      </c>
      <c r="T17" cm="1">
        <f t="array" ref="T17">SUMPRODUCT(--(ISNUMBER(SEARCH({"0";"1";"2";"3";"4";"5";"6";"7";"8"},SUBSTITUTE(C17," ",""))) * ISNUMBER(SEARCH({"0";"1";"2";"3";"4";"5";"6";"7";"8"},SUBSTITUTE(G17," ","")))))</f>
        <v>1</v>
      </c>
      <c r="U17">
        <f t="shared" si="6"/>
        <v>1</v>
      </c>
      <c r="V17" cm="1">
        <f t="array" ref="V17">SUMPRODUCT(--(ISNUMBER(SEARCH({"0";"1";"2";"3";"4";"5";"6";"7";"8"},SUBSTITUTE(K17," ",""))) * ISNUMBER(SEARCH({"0";"1";"2";"3";"4";"5";"6";"7";"8"},SUBSTITUTE(G17," ","")))))</f>
        <v>1</v>
      </c>
      <c r="W17">
        <f t="shared" si="2"/>
        <v>0</v>
      </c>
      <c r="X17" cm="1">
        <f t="array" ref="X17">SUMPRODUCT(--(ISNUMBER(SEARCH({"0";"1";"2";"3";"4";"5";"6";"7";"8"},SUBSTITUTE(K17," ",""))) * ISNUMBER(SEARCH({"0";"1";"2";"3";"4";"5";"6";"7";"8"},SUBSTITUTE(C17," ","")))))</f>
        <v>1</v>
      </c>
      <c r="Y17">
        <f t="shared" si="7"/>
        <v>1</v>
      </c>
      <c r="Z17" cm="1">
        <f t="array" ref="Z17">SUMPRODUCT(--(ISNUMBER(SEARCH({"0";"1";"2";"3";"4";"5";"6";"7";"8"},SUBSTITUTE(K17," ",""))) * ISNUMBER(SEARCH({"0";"1";"2";"3";"4";"5";"6";"7";"8"},SUBSTITUTE(I17," ","")))))</f>
        <v>1</v>
      </c>
      <c r="AA17">
        <f>SUM(Y2:Y51)</f>
        <v>20</v>
      </c>
      <c r="AB17" cm="1">
        <f t="array" ref="AB17">SUMPRODUCT(--(Z2:Z51&gt;=1))</f>
        <v>28</v>
      </c>
    </row>
    <row r="18" spans="1:28" ht="34" x14ac:dyDescent="0.2">
      <c r="A18" t="s">
        <v>59</v>
      </c>
      <c r="B18" s="5" t="s">
        <v>60</v>
      </c>
      <c r="C18" s="8" t="s">
        <v>25</v>
      </c>
      <c r="D18">
        <v>1</v>
      </c>
      <c r="G18" s="8">
        <f>'Sara Mappings'!C18</f>
        <v>0</v>
      </c>
      <c r="H18" s="9" t="str">
        <f>IF('Sara Mappings'!D18=0,"",'Sara Mappings'!D18)</f>
        <v>Pedagogy</v>
      </c>
      <c r="I18">
        <f>'Valtteri Mappings'!C18</f>
        <v>0</v>
      </c>
      <c r="J18" t="str">
        <f>IF('Valtteri Mappings'!D18=0,"",'Valtteri Mappings'!D18)</f>
        <v/>
      </c>
      <c r="K18">
        <f>'Paul Mappings'!C18</f>
        <v>0</v>
      </c>
      <c r="L18" t="str">
        <f>IF('Paul Mappings'!D18=0,"",'Paul Mappings'!D18)</f>
        <v>6 human factors also?</v>
      </c>
      <c r="O18">
        <f t="shared" si="3"/>
        <v>1</v>
      </c>
      <c r="P18" cm="1">
        <f t="array" ref="P18">SUMPRODUCT(--(ISNUMBER(SEARCH({"0";"1";"2";"3";"4";"5";"6";"7";"8"},SUBSTITUTE(G18," ",""))) * ISNUMBER(SEARCH({"0";"1";"2";"3";"4";"5";"6";"7";"8"},SUBSTITUTE(I18," ","")))))</f>
        <v>1</v>
      </c>
      <c r="Q18">
        <f t="shared" si="0"/>
        <v>1</v>
      </c>
      <c r="R18" cm="1">
        <f t="array" ref="R18">SUMPRODUCT(--(ISNUMBER(SEARCH({"0";"1";"2";"3";"4";"5";"6";"7";"8"},SUBSTITUTE(C18," ",""))) * ISNUMBER(SEARCH({"0";"1";"2";"3";"4";"5";"6";"7";"8"},SUBSTITUTE(I18," ","")))))</f>
        <v>1</v>
      </c>
      <c r="S18">
        <f t="shared" si="1"/>
        <v>1</v>
      </c>
      <c r="T18" cm="1">
        <f t="array" ref="T18">SUMPRODUCT(--(ISNUMBER(SEARCH({"0";"1";"2";"3";"4";"5";"6";"7";"8"},SUBSTITUTE(C18," ",""))) * ISNUMBER(SEARCH({"0";"1";"2";"3";"4";"5";"6";"7";"8"},SUBSTITUTE(G18," ","")))))</f>
        <v>1</v>
      </c>
      <c r="U18">
        <f t="shared" si="6"/>
        <v>1</v>
      </c>
      <c r="V18" cm="1">
        <f t="array" ref="V18">SUMPRODUCT(--(ISNUMBER(SEARCH({"0";"1";"2";"3";"4";"5";"6";"7";"8"},SUBSTITUTE(K18," ",""))) * ISNUMBER(SEARCH({"0";"1";"2";"3";"4";"5";"6";"7";"8"},SUBSTITUTE(G18," ","")))))</f>
        <v>1</v>
      </c>
      <c r="W18">
        <f t="shared" si="2"/>
        <v>1</v>
      </c>
      <c r="X18" cm="1">
        <f t="array" ref="X18">SUMPRODUCT(--(ISNUMBER(SEARCH({"0";"1";"2";"3";"4";"5";"6";"7";"8"},SUBSTITUTE(K18," ",""))) * ISNUMBER(SEARCH({"0";"1";"2";"3";"4";"5";"6";"7";"8"},SUBSTITUTE(C18," ","")))))</f>
        <v>1</v>
      </c>
      <c r="Y18">
        <f t="shared" si="7"/>
        <v>1</v>
      </c>
      <c r="Z18" cm="1">
        <f t="array" ref="Z18">SUMPRODUCT(--(ISNUMBER(SEARCH({"0";"1";"2";"3";"4";"5";"6";"7";"8"},SUBSTITUTE(K18," ",""))) * ISNUMBER(SEARCH({"0";"1";"2";"3";"4";"5";"6";"7";"8"},SUBSTITUTE(I18," ","")))))</f>
        <v>1</v>
      </c>
      <c r="AA18" s="13">
        <f>AA17/50</f>
        <v>0.4</v>
      </c>
      <c r="AB18" s="13">
        <f>AB17/50</f>
        <v>0.56000000000000005</v>
      </c>
    </row>
    <row r="19" spans="1:28" ht="34" x14ac:dyDescent="0.2">
      <c r="A19" t="s">
        <v>61</v>
      </c>
      <c r="B19" s="5" t="s">
        <v>62</v>
      </c>
      <c r="C19" s="8" t="s">
        <v>25</v>
      </c>
      <c r="D19">
        <v>1</v>
      </c>
      <c r="G19" s="8">
        <f>'Sara Mappings'!C19</f>
        <v>0</v>
      </c>
      <c r="H19" s="9" t="str">
        <f>IF('Sara Mappings'!D19=0,"",'Sara Mappings'!D19)</f>
        <v>CS</v>
      </c>
      <c r="I19">
        <f>'Valtteri Mappings'!C19</f>
        <v>0</v>
      </c>
      <c r="J19" t="str">
        <f>IF('Valtteri Mappings'!D19=0,"",'Valtteri Mappings'!D19)</f>
        <v/>
      </c>
      <c r="K19">
        <f>'Paul Mappings'!C19</f>
        <v>6</v>
      </c>
      <c r="L19" t="str">
        <f>IF('Paul Mappings'!D19=0,"",'Paul Mappings'!D19)</f>
        <v>Not web attacks or technical as I interpreted it</v>
      </c>
      <c r="O19">
        <f t="shared" si="3"/>
        <v>1</v>
      </c>
      <c r="P19" cm="1">
        <f t="array" ref="P19">SUMPRODUCT(--(ISNUMBER(SEARCH({"0";"1";"2";"3";"4";"5";"6";"7";"8"},SUBSTITUTE(G19," ",""))) * ISNUMBER(SEARCH({"0";"1";"2";"3";"4";"5";"6";"7";"8"},SUBSTITUTE(I19," ","")))))</f>
        <v>1</v>
      </c>
      <c r="Q19">
        <f t="shared" si="0"/>
        <v>1</v>
      </c>
      <c r="R19" cm="1">
        <f t="array" ref="R19">SUMPRODUCT(--(ISNUMBER(SEARCH({"0";"1";"2";"3";"4";"5";"6";"7";"8"},SUBSTITUTE(C19," ",""))) * ISNUMBER(SEARCH({"0";"1";"2";"3";"4";"5";"6";"7";"8"},SUBSTITUTE(I19," ","")))))</f>
        <v>1</v>
      </c>
      <c r="S19">
        <f t="shared" si="1"/>
        <v>1</v>
      </c>
      <c r="T19" cm="1">
        <f t="array" ref="T19">SUMPRODUCT(--(ISNUMBER(SEARCH({"0";"1";"2";"3";"4";"5";"6";"7";"8"},SUBSTITUTE(C19," ",""))) * ISNUMBER(SEARCH({"0";"1";"2";"3";"4";"5";"6";"7";"8"},SUBSTITUTE(G19," ","")))))</f>
        <v>1</v>
      </c>
      <c r="U19">
        <f t="shared" si="6"/>
        <v>0</v>
      </c>
      <c r="V19" cm="1">
        <f t="array" ref="V19">SUMPRODUCT(--(ISNUMBER(SEARCH({"0";"1";"2";"3";"4";"5";"6";"7";"8"},SUBSTITUTE(K19," ",""))) * ISNUMBER(SEARCH({"0";"1";"2";"3";"4";"5";"6";"7";"8"},SUBSTITUTE(G19," ","")))))</f>
        <v>0</v>
      </c>
      <c r="W19">
        <f t="shared" si="2"/>
        <v>0</v>
      </c>
      <c r="X19" cm="1">
        <f t="array" ref="X19">SUMPRODUCT(--(ISNUMBER(SEARCH({"0";"1";"2";"3";"4";"5";"6";"7";"8"},SUBSTITUTE(K19," ",""))) * ISNUMBER(SEARCH({"0";"1";"2";"3";"4";"5";"6";"7";"8"},SUBSTITUTE(C19," ","")))))</f>
        <v>0</v>
      </c>
      <c r="Y19">
        <f t="shared" si="7"/>
        <v>0</v>
      </c>
      <c r="Z19" cm="1">
        <f t="array" ref="Z19">SUMPRODUCT(--(ISNUMBER(SEARCH({"0";"1";"2";"3";"4";"5";"6";"7";"8"},SUBSTITUTE(K19," ",""))) * ISNUMBER(SEARCH({"0";"1";"2";"3";"4";"5";"6";"7";"8"},SUBSTITUTE(I19," ","")))))</f>
        <v>0</v>
      </c>
    </row>
    <row r="20" spans="1:28" ht="34" x14ac:dyDescent="0.2">
      <c r="A20" t="s">
        <v>63</v>
      </c>
      <c r="B20" s="5" t="s">
        <v>64</v>
      </c>
      <c r="C20" s="8" t="s">
        <v>65</v>
      </c>
      <c r="D20">
        <v>1</v>
      </c>
      <c r="G20" s="8">
        <f>'Sara Mappings'!C20</f>
        <v>2</v>
      </c>
      <c r="H20" s="9" t="str">
        <f>IF('Sara Mappings'!D20=0,"",'Sara Mappings'!D20)</f>
        <v/>
      </c>
      <c r="I20">
        <f>'Valtteri Mappings'!C20</f>
        <v>2</v>
      </c>
      <c r="J20" t="str">
        <f>IF('Valtteri Mappings'!D20=0,"",'Valtteri Mappings'!D20)</f>
        <v/>
      </c>
      <c r="K20">
        <f>'Paul Mappings'!C20</f>
        <v>2</v>
      </c>
      <c r="L20" t="str">
        <f>IF('Paul Mappings'!D20=0,"",'Paul Mappings'!D20)</f>
        <v/>
      </c>
      <c r="O20">
        <f t="shared" si="3"/>
        <v>1</v>
      </c>
      <c r="P20" cm="1">
        <f t="array" ref="P20">SUMPRODUCT(--(ISNUMBER(SEARCH({"0";"1";"2";"3";"4";"5";"6";"7";"8"},SUBSTITUTE(G20," ",""))) * ISNUMBER(SEARCH({"0";"1";"2";"3";"4";"5";"6";"7";"8"},SUBSTITUTE(I20," ","")))))</f>
        <v>1</v>
      </c>
      <c r="Q20">
        <f t="shared" si="0"/>
        <v>1</v>
      </c>
      <c r="R20" cm="1">
        <f t="array" ref="R20">SUMPRODUCT(--(ISNUMBER(SEARCH({"0";"1";"2";"3";"4";"5";"6";"7";"8"},SUBSTITUTE(C20," ",""))) * ISNUMBER(SEARCH({"0";"1";"2";"3";"4";"5";"6";"7";"8"},SUBSTITUTE(I20," ","")))))</f>
        <v>1</v>
      </c>
      <c r="S20">
        <f t="shared" si="1"/>
        <v>1</v>
      </c>
      <c r="T20" cm="1">
        <f t="array" ref="T20">SUMPRODUCT(--(ISNUMBER(SEARCH({"0";"1";"2";"3";"4";"5";"6";"7";"8"},SUBSTITUTE(C20," ",""))) * ISNUMBER(SEARCH({"0";"1";"2";"3";"4";"5";"6";"7";"8"},SUBSTITUTE(G20," ","")))))</f>
        <v>1</v>
      </c>
      <c r="U20">
        <f t="shared" si="6"/>
        <v>1</v>
      </c>
      <c r="V20" cm="1">
        <f t="array" ref="V20">SUMPRODUCT(--(ISNUMBER(SEARCH({"0";"1";"2";"3";"4";"5";"6";"7";"8"},SUBSTITUTE(K20," ",""))) * ISNUMBER(SEARCH({"0";"1";"2";"3";"4";"5";"6";"7";"8"},SUBSTITUTE(G20," ","")))))</f>
        <v>1</v>
      </c>
      <c r="W20">
        <f t="shared" si="2"/>
        <v>1</v>
      </c>
      <c r="X20" cm="1">
        <f t="array" ref="X20">SUMPRODUCT(--(ISNUMBER(SEARCH({"0";"1";"2";"3";"4";"5";"6";"7";"8"},SUBSTITUTE(K20," ",""))) * ISNUMBER(SEARCH({"0";"1";"2";"3";"4";"5";"6";"7";"8"},SUBSTITUTE(C20," ","")))))</f>
        <v>1</v>
      </c>
      <c r="Y20">
        <f t="shared" si="7"/>
        <v>1</v>
      </c>
      <c r="Z20" cm="1">
        <f t="array" ref="Z20">SUMPRODUCT(--(ISNUMBER(SEARCH({"0";"1";"2";"3";"4";"5";"6";"7";"8"},SUBSTITUTE(K20," ",""))) * ISNUMBER(SEARCH({"0";"1";"2";"3";"4";"5";"6";"7";"8"},SUBSTITUTE(I20," ","")))))</f>
        <v>1</v>
      </c>
    </row>
    <row r="21" spans="1:28" ht="34" x14ac:dyDescent="0.2">
      <c r="A21" t="s">
        <v>66</v>
      </c>
      <c r="B21" s="5" t="s">
        <v>67</v>
      </c>
      <c r="C21" s="8" t="s">
        <v>22</v>
      </c>
      <c r="D21">
        <v>1</v>
      </c>
      <c r="G21" s="8">
        <f>'Sara Mappings'!C21</f>
        <v>7</v>
      </c>
      <c r="H21" s="9" t="str">
        <f>IF('Sara Mappings'!D21=0,"",'Sara Mappings'!D21)</f>
        <v xml:space="preserve">Risk Management </v>
      </c>
      <c r="I21">
        <f>'Valtteri Mappings'!C21</f>
        <v>5</v>
      </c>
      <c r="J21" t="str">
        <f>IF('Valtteri Mappings'!D21=0,"",'Valtteri Mappings'!D21)</f>
        <v/>
      </c>
      <c r="K21">
        <f>'Paul Mappings'!C21</f>
        <v>7</v>
      </c>
      <c r="L21" t="str">
        <f>IF('Paul Mappings'!D21=0,"",'Paul Mappings'!D21)</f>
        <v>many KAs relevant</v>
      </c>
      <c r="O21">
        <f t="shared" si="3"/>
        <v>0</v>
      </c>
      <c r="P21" cm="1">
        <f t="array" ref="P21">SUMPRODUCT(--(ISNUMBER(SEARCH({"0";"1";"2";"3";"4";"5";"6";"7";"8"},SUBSTITUTE(G21," ",""))) * ISNUMBER(SEARCH({"0";"1";"2";"3";"4";"5";"6";"7";"8"},SUBSTITUTE(I21," ","")))))</f>
        <v>0</v>
      </c>
      <c r="Q21">
        <f t="shared" si="0"/>
        <v>0</v>
      </c>
      <c r="R21" cm="1">
        <f t="array" ref="R21">SUMPRODUCT(--(ISNUMBER(SEARCH({"0";"1";"2";"3";"4";"5";"6";"7";"8"},SUBSTITUTE(C21," ",""))) * ISNUMBER(SEARCH({"0";"1";"2";"3";"4";"5";"6";"7";"8"},SUBSTITUTE(I21," ","")))))</f>
        <v>0</v>
      </c>
      <c r="S21">
        <f t="shared" si="1"/>
        <v>1</v>
      </c>
      <c r="T21" cm="1">
        <f t="array" ref="T21">SUMPRODUCT(--(ISNUMBER(SEARCH({"0";"1";"2";"3";"4";"5";"6";"7";"8"},SUBSTITUTE(C21," ",""))) * ISNUMBER(SEARCH({"0";"1";"2";"3";"4";"5";"6";"7";"8"},SUBSTITUTE(G21," ","")))))</f>
        <v>1</v>
      </c>
      <c r="U21">
        <f t="shared" si="6"/>
        <v>1</v>
      </c>
      <c r="V21" cm="1">
        <f t="array" ref="V21">SUMPRODUCT(--(ISNUMBER(SEARCH({"0";"1";"2";"3";"4";"5";"6";"7";"8"},SUBSTITUTE(K21," ",""))) * ISNUMBER(SEARCH({"0";"1";"2";"3";"4";"5";"6";"7";"8"},SUBSTITUTE(G21," ","")))))</f>
        <v>1</v>
      </c>
      <c r="W21">
        <f t="shared" si="2"/>
        <v>1</v>
      </c>
      <c r="X21" cm="1">
        <f t="array" ref="X21">SUMPRODUCT(--(ISNUMBER(SEARCH({"0";"1";"2";"3";"4";"5";"6";"7";"8"},SUBSTITUTE(K21," ",""))) * ISNUMBER(SEARCH({"0";"1";"2";"3";"4";"5";"6";"7";"8"},SUBSTITUTE(C21," ","")))))</f>
        <v>1</v>
      </c>
      <c r="Y21">
        <f t="shared" si="7"/>
        <v>0</v>
      </c>
      <c r="Z21" cm="1">
        <f t="array" ref="Z21">SUMPRODUCT(--(ISNUMBER(SEARCH({"0";"1";"2";"3";"4";"5";"6";"7";"8"},SUBSTITUTE(K21," ",""))) * ISNUMBER(SEARCH({"0";"1";"2";"3";"4";"5";"6";"7";"8"},SUBSTITUTE(I21," ","")))))</f>
        <v>0</v>
      </c>
    </row>
    <row r="22" spans="1:28" ht="34" x14ac:dyDescent="0.2">
      <c r="A22" t="s">
        <v>68</v>
      </c>
      <c r="B22" s="5" t="s">
        <v>69</v>
      </c>
      <c r="C22" s="8" t="s">
        <v>22</v>
      </c>
      <c r="D22">
        <v>0</v>
      </c>
      <c r="G22" s="8">
        <f>'Sara Mappings'!C22</f>
        <v>0</v>
      </c>
      <c r="H22" s="9" t="str">
        <f>IF('Sara Mappings'!D22=0,"",'Sara Mappings'!D22)</f>
        <v>Business and Law</v>
      </c>
      <c r="I22">
        <f>'Valtteri Mappings'!C22</f>
        <v>0</v>
      </c>
      <c r="J22" t="str">
        <f>IF('Valtteri Mappings'!D22=0,"",'Valtteri Mappings'!D22)</f>
        <v/>
      </c>
      <c r="K22">
        <f>'Paul Mappings'!C22</f>
        <v>5.6</v>
      </c>
      <c r="L22" t="str">
        <f>IF('Paul Mappings'!D22=0,"",'Paul Mappings'!D22)</f>
        <v>somewhat technical interpretation</v>
      </c>
      <c r="O22">
        <f t="shared" si="3"/>
        <v>1</v>
      </c>
      <c r="P22" cm="1">
        <f t="array" ref="P22">SUMPRODUCT(--(ISNUMBER(SEARCH({"0";"1";"2";"3";"4";"5";"6";"7";"8"},SUBSTITUTE(G22," ",""))) * ISNUMBER(SEARCH({"0";"1";"2";"3";"4";"5";"6";"7";"8"},SUBSTITUTE(I22," ","")))))</f>
        <v>1</v>
      </c>
      <c r="Q22">
        <f t="shared" si="0"/>
        <v>0</v>
      </c>
      <c r="R22" cm="1">
        <f t="array" ref="R22">SUMPRODUCT(--(ISNUMBER(SEARCH({"0";"1";"2";"3";"4";"5";"6";"7";"8"},SUBSTITUTE(C22," ",""))) * ISNUMBER(SEARCH({"0";"1";"2";"3";"4";"5";"6";"7";"8"},SUBSTITUTE(I22," ","")))))</f>
        <v>0</v>
      </c>
      <c r="S22">
        <f t="shared" si="1"/>
        <v>0</v>
      </c>
      <c r="T22" cm="1">
        <f t="array" ref="T22">SUMPRODUCT(--(ISNUMBER(SEARCH({"0";"1";"2";"3";"4";"5";"6";"7";"8"},SUBSTITUTE(C22," ",""))) * ISNUMBER(SEARCH({"0";"1";"2";"3";"4";"5";"6";"7";"8"},SUBSTITUTE(G22," ","")))))</f>
        <v>0</v>
      </c>
      <c r="U22">
        <f t="shared" si="6"/>
        <v>0</v>
      </c>
      <c r="V22" cm="1">
        <f t="array" ref="V22">SUMPRODUCT(--(ISNUMBER(SEARCH({"0";"1";"2";"3";"4";"5";"6";"7";"8"},SUBSTITUTE(K22," ",""))) * ISNUMBER(SEARCH({"0";"1";"2";"3";"4";"5";"6";"7";"8"},SUBSTITUTE(G22," ","")))))</f>
        <v>0</v>
      </c>
      <c r="W22">
        <f t="shared" si="2"/>
        <v>0</v>
      </c>
      <c r="X22" cm="1">
        <f t="array" ref="X22">SUMPRODUCT(--(ISNUMBER(SEARCH({"0";"1";"2";"3";"4";"5";"6";"7";"8"},SUBSTITUTE(K22," ",""))) * ISNUMBER(SEARCH({"0";"1";"2";"3";"4";"5";"6";"7";"8"},SUBSTITUTE(C22," ","")))))</f>
        <v>0</v>
      </c>
      <c r="Y22">
        <f t="shared" si="7"/>
        <v>0</v>
      </c>
      <c r="Z22" cm="1">
        <f t="array" ref="Z22">SUMPRODUCT(--(ISNUMBER(SEARCH({"0";"1";"2";"3";"4";"5";"6";"7";"8"},SUBSTITUTE(K22," ",""))) * ISNUMBER(SEARCH({"0";"1";"2";"3";"4";"5";"6";"7";"8"},SUBSTITUTE(I22," ","")))))</f>
        <v>0</v>
      </c>
    </row>
    <row r="23" spans="1:28" ht="34" x14ac:dyDescent="0.2">
      <c r="A23" t="s">
        <v>70</v>
      </c>
      <c r="B23" s="5" t="s">
        <v>71</v>
      </c>
      <c r="C23" s="8" t="s">
        <v>72</v>
      </c>
      <c r="D23">
        <v>0</v>
      </c>
      <c r="E23">
        <v>1</v>
      </c>
      <c r="G23" s="8">
        <f>'Sara Mappings'!C23</f>
        <v>0</v>
      </c>
      <c r="H23" s="9" t="str">
        <f>IF('Sara Mappings'!D23=0,"",'Sara Mappings'!D23)</f>
        <v>Cyberspace Practice</v>
      </c>
      <c r="I23">
        <f>'Valtteri Mappings'!C23</f>
        <v>5</v>
      </c>
      <c r="J23" t="str">
        <f>IF('Valtteri Mappings'!D23=0,"",'Valtteri Mappings'!D23)</f>
        <v/>
      </c>
      <c r="K23">
        <f>'Paul Mappings'!C23</f>
        <v>8</v>
      </c>
      <c r="L23" t="str">
        <f>IF('Paul Mappings'!D23=0,"",'Paul Mappings'!D23)</f>
        <v>cybercrime</v>
      </c>
      <c r="O23">
        <f t="shared" si="3"/>
        <v>0</v>
      </c>
      <c r="P23" cm="1">
        <f t="array" ref="P23">SUMPRODUCT(--(ISNUMBER(SEARCH({"0";"1";"2";"3";"4";"5";"6";"7";"8"},SUBSTITUTE(G23," ",""))) * ISNUMBER(SEARCH({"0";"1";"2";"3";"4";"5";"6";"7";"8"},SUBSTITUTE(I23," ","")))))</f>
        <v>0</v>
      </c>
      <c r="Q23">
        <f t="shared" si="0"/>
        <v>0</v>
      </c>
      <c r="R23" cm="1">
        <f t="array" ref="R23">SUMPRODUCT(--(ISNUMBER(SEARCH({"0";"1";"2";"3";"4";"5";"6";"7";"8"},SUBSTITUTE(C23," ",""))) * ISNUMBER(SEARCH({"0";"1";"2";"3";"4";"5";"6";"7";"8"},SUBSTITUTE(I23," ","")))))</f>
        <v>1</v>
      </c>
      <c r="S23">
        <f t="shared" si="1"/>
        <v>0</v>
      </c>
      <c r="T23" cm="1">
        <f t="array" ref="T23">SUMPRODUCT(--(ISNUMBER(SEARCH({"0";"1";"2";"3";"4";"5";"6";"7";"8"},SUBSTITUTE(C23," ",""))) * ISNUMBER(SEARCH({"0";"1";"2";"3";"4";"5";"6";"7";"8"},SUBSTITUTE(G23," ","")))))</f>
        <v>0</v>
      </c>
      <c r="U23">
        <f t="shared" si="6"/>
        <v>0</v>
      </c>
      <c r="V23" cm="1">
        <f t="array" ref="V23">SUMPRODUCT(--(ISNUMBER(SEARCH({"0";"1";"2";"3";"4";"5";"6";"7";"8"},SUBSTITUTE(K23," ",""))) * ISNUMBER(SEARCH({"0";"1";"2";"3";"4";"5";"6";"7";"8"},SUBSTITUTE(G23," ","")))))</f>
        <v>0</v>
      </c>
      <c r="W23">
        <f t="shared" si="2"/>
        <v>0</v>
      </c>
      <c r="X23" cm="1">
        <f t="array" ref="X23">SUMPRODUCT(--(ISNUMBER(SEARCH({"0";"1";"2";"3";"4";"5";"6";"7";"8"},SUBSTITUTE(K23," ",""))) * ISNUMBER(SEARCH({"0";"1";"2";"3";"4";"5";"6";"7";"8"},SUBSTITUTE(C23," ","")))))</f>
        <v>0</v>
      </c>
      <c r="Y23">
        <f t="shared" si="7"/>
        <v>0</v>
      </c>
      <c r="Z23" cm="1">
        <f t="array" ref="Z23">SUMPRODUCT(--(ISNUMBER(SEARCH({"0";"1";"2";"3";"4";"5";"6";"7";"8"},SUBSTITUTE(K23," ",""))) * ISNUMBER(SEARCH({"0";"1";"2";"3";"4";"5";"6";"7";"8"},SUBSTITUTE(I23," ","")))))</f>
        <v>0</v>
      </c>
    </row>
    <row r="24" spans="1:28" ht="17" x14ac:dyDescent="0.2">
      <c r="A24" t="s">
        <v>73</v>
      </c>
      <c r="B24" s="5" t="s">
        <v>74</v>
      </c>
      <c r="C24" s="8" t="s">
        <v>35</v>
      </c>
      <c r="D24">
        <v>0</v>
      </c>
      <c r="E24">
        <v>1</v>
      </c>
      <c r="G24" s="8">
        <f>'Sara Mappings'!C24</f>
        <v>0</v>
      </c>
      <c r="H24" s="9" t="str">
        <f>IF('Sara Mappings'!D24=0,"",'Sara Mappings'!D24)</f>
        <v>Cyberspace Practice</v>
      </c>
      <c r="I24">
        <f>'Valtteri Mappings'!C24</f>
        <v>5</v>
      </c>
      <c r="J24" t="str">
        <f>IF('Valtteri Mappings'!D24=0,"",'Valtteri Mappings'!D24)</f>
        <v/>
      </c>
      <c r="K24">
        <f>'Paul Mappings'!C24</f>
        <v>8</v>
      </c>
      <c r="L24" t="str">
        <f>IF('Paul Mappings'!D24=0,"",'Paul Mappings'!D24)</f>
        <v>cybercrime</v>
      </c>
      <c r="O24">
        <f t="shared" si="3"/>
        <v>0</v>
      </c>
      <c r="P24" cm="1">
        <f t="array" ref="P24">SUMPRODUCT(--(ISNUMBER(SEARCH({"0";"1";"2";"3";"4";"5";"6";"7";"8"},SUBSTITUTE(G24," ",""))) * ISNUMBER(SEARCH({"0";"1";"2";"3";"4";"5";"6";"7";"8"},SUBSTITUTE(I24," ","")))))</f>
        <v>0</v>
      </c>
      <c r="Q24">
        <f t="shared" si="0"/>
        <v>0</v>
      </c>
      <c r="R24" cm="1">
        <f t="array" ref="R24">SUMPRODUCT(--(ISNUMBER(SEARCH({"0";"1";"2";"3";"4";"5";"6";"7";"8"},SUBSTITUTE(C24," ",""))) * ISNUMBER(SEARCH({"0";"1";"2";"3";"4";"5";"6";"7";"8"},SUBSTITUTE(I24," ","")))))</f>
        <v>1</v>
      </c>
      <c r="S24">
        <f t="shared" si="1"/>
        <v>0</v>
      </c>
      <c r="T24" cm="1">
        <f t="array" ref="T24">SUMPRODUCT(--(ISNUMBER(SEARCH({"0";"1";"2";"3";"4";"5";"6";"7";"8"},SUBSTITUTE(C24," ",""))) * ISNUMBER(SEARCH({"0";"1";"2";"3";"4";"5";"6";"7";"8"},SUBSTITUTE(G24," ","")))))</f>
        <v>0</v>
      </c>
      <c r="U24">
        <f t="shared" si="6"/>
        <v>0</v>
      </c>
      <c r="V24" cm="1">
        <f t="array" ref="V24">SUMPRODUCT(--(ISNUMBER(SEARCH({"0";"1";"2";"3";"4";"5";"6";"7";"8"},SUBSTITUTE(K24," ",""))) * ISNUMBER(SEARCH({"0";"1";"2";"3";"4";"5";"6";"7";"8"},SUBSTITUTE(G24," ","")))))</f>
        <v>0</v>
      </c>
      <c r="W24">
        <f t="shared" si="2"/>
        <v>0</v>
      </c>
      <c r="X24" cm="1">
        <f t="array" ref="X24">SUMPRODUCT(--(ISNUMBER(SEARCH({"0";"1";"2";"3";"4";"5";"6";"7";"8"},SUBSTITUTE(K24," ",""))) * ISNUMBER(SEARCH({"0";"1";"2";"3";"4";"5";"6";"7";"8"},SUBSTITUTE(C24," ","")))))</f>
        <v>0</v>
      </c>
      <c r="Y24">
        <f t="shared" si="7"/>
        <v>0</v>
      </c>
      <c r="Z24" cm="1">
        <f t="array" ref="Z24">SUMPRODUCT(--(ISNUMBER(SEARCH({"0";"1";"2";"3";"4";"5";"6";"7";"8"},SUBSTITUTE(K24," ",""))) * ISNUMBER(SEARCH({"0";"1";"2";"3";"4";"5";"6";"7";"8"},SUBSTITUTE(I24," ","")))))</f>
        <v>0</v>
      </c>
    </row>
    <row r="25" spans="1:28" ht="34" x14ac:dyDescent="0.2">
      <c r="A25" t="s">
        <v>75</v>
      </c>
      <c r="B25" s="5" t="s">
        <v>76</v>
      </c>
      <c r="C25" s="8" t="s">
        <v>35</v>
      </c>
      <c r="D25">
        <v>1</v>
      </c>
      <c r="G25" s="8">
        <f>'Sara Mappings'!C25</f>
        <v>4</v>
      </c>
      <c r="H25" s="9" t="str">
        <f>IF('Sara Mappings'!D25=0,"",'Sara Mappings'!D25)</f>
        <v>Network Defense</v>
      </c>
      <c r="I25">
        <f>'Valtteri Mappings'!C25</f>
        <v>5</v>
      </c>
      <c r="J25" t="str">
        <f>IF('Valtteri Mappings'!D25=0,"",'Valtteri Mappings'!D25)</f>
        <v/>
      </c>
      <c r="K25">
        <f>'Paul Mappings'!C25</f>
        <v>5</v>
      </c>
      <c r="L25" t="str">
        <f>IF('Paul Mappings'!D25=0,"",'Paul Mappings'!D25)</f>
        <v>IDS</v>
      </c>
      <c r="O25">
        <f t="shared" si="3"/>
        <v>0</v>
      </c>
      <c r="P25" cm="1">
        <f t="array" ref="P25">SUMPRODUCT(--(ISNUMBER(SEARCH({"0";"1";"2";"3";"4";"5";"6";"7";"8"},SUBSTITUTE(G25," ",""))) * ISNUMBER(SEARCH({"0";"1";"2";"3";"4";"5";"6";"7";"8"},SUBSTITUTE(I25," ","")))))</f>
        <v>0</v>
      </c>
      <c r="Q25">
        <f t="shared" si="0"/>
        <v>0</v>
      </c>
      <c r="R25" cm="1">
        <f t="array" ref="R25">SUMPRODUCT(--(ISNUMBER(SEARCH({"0";"1";"2";"3";"4";"5";"6";"7";"8"},SUBSTITUTE(C25," ",""))) * ISNUMBER(SEARCH({"0";"1";"2";"3";"4";"5";"6";"7";"8"},SUBSTITUTE(I25," ","")))))</f>
        <v>1</v>
      </c>
      <c r="S25">
        <f t="shared" si="1"/>
        <v>0</v>
      </c>
      <c r="T25" cm="1">
        <f t="array" ref="T25">SUMPRODUCT(--(ISNUMBER(SEARCH({"0";"1";"2";"3";"4";"5";"6";"7";"8"},SUBSTITUTE(C25," ",""))) * ISNUMBER(SEARCH({"0";"1";"2";"3";"4";"5";"6";"7";"8"},SUBSTITUTE(G25," ","")))))</f>
        <v>0</v>
      </c>
      <c r="U25">
        <f t="shared" si="6"/>
        <v>0</v>
      </c>
      <c r="V25" cm="1">
        <f t="array" ref="V25">SUMPRODUCT(--(ISNUMBER(SEARCH({"0";"1";"2";"3";"4";"5";"6";"7";"8"},SUBSTITUTE(K25," ",""))) * ISNUMBER(SEARCH({"0";"1";"2";"3";"4";"5";"6";"7";"8"},SUBSTITUTE(G25," ","")))))</f>
        <v>0</v>
      </c>
      <c r="W25">
        <f t="shared" si="2"/>
        <v>0</v>
      </c>
      <c r="X25" cm="1">
        <f t="array" ref="X25">SUMPRODUCT(--(ISNUMBER(SEARCH({"0";"1";"2";"3";"4";"5";"6";"7";"8"},SUBSTITUTE(K25," ",""))) * ISNUMBER(SEARCH({"0";"1";"2";"3";"4";"5";"6";"7";"8"},SUBSTITUTE(C25," ","")))))</f>
        <v>1</v>
      </c>
      <c r="Y25">
        <f t="shared" si="7"/>
        <v>1</v>
      </c>
      <c r="Z25" cm="1">
        <f t="array" ref="Z25">SUMPRODUCT(--(ISNUMBER(SEARCH({"0";"1";"2";"3";"4";"5";"6";"7";"8"},SUBSTITUTE(K25," ",""))) * ISNUMBER(SEARCH({"0";"1";"2";"3";"4";"5";"6";"7";"8"},SUBSTITUTE(I25," ","")))))</f>
        <v>1</v>
      </c>
    </row>
    <row r="26" spans="1:28" ht="34" x14ac:dyDescent="0.2">
      <c r="A26" t="s">
        <v>77</v>
      </c>
      <c r="B26" s="5" t="s">
        <v>78</v>
      </c>
      <c r="C26" s="8" t="s">
        <v>79</v>
      </c>
      <c r="D26">
        <v>1</v>
      </c>
      <c r="G26" s="8">
        <f>'Sara Mappings'!C26</f>
        <v>7</v>
      </c>
      <c r="H26" s="9" t="str">
        <f>IF('Sara Mappings'!D26=0,"",'Sara Mappings'!D26)</f>
        <v xml:space="preserve">Risk Management </v>
      </c>
      <c r="I26">
        <f>'Valtteri Mappings'!C26</f>
        <v>7</v>
      </c>
      <c r="J26" t="str">
        <f>IF('Valtteri Mappings'!D26=0,"",'Valtteri Mappings'!D26)</f>
        <v/>
      </c>
      <c r="K26">
        <f>'Paul Mappings'!C26</f>
        <v>7.6</v>
      </c>
      <c r="L26" t="str">
        <f>IF('Paul Mappings'!D26=0,"",'Paul Mappings'!D26)</f>
        <v/>
      </c>
      <c r="O26">
        <f t="shared" si="3"/>
        <v>1</v>
      </c>
      <c r="P26" cm="1">
        <f t="array" ref="P26">SUMPRODUCT(--(ISNUMBER(SEARCH({"0";"1";"2";"3";"4";"5";"6";"7";"8"},SUBSTITUTE(G26," ",""))) * ISNUMBER(SEARCH({"0";"1";"2";"3";"4";"5";"6";"7";"8"},SUBSTITUTE(I26," ","")))))</f>
        <v>1</v>
      </c>
      <c r="Q26">
        <f t="shared" si="0"/>
        <v>0</v>
      </c>
      <c r="R26" cm="1">
        <f t="array" ref="R26">SUMPRODUCT(--(ISNUMBER(SEARCH({"0";"1";"2";"3";"4";"5";"6";"7";"8"},SUBSTITUTE(C26," ",""))) * ISNUMBER(SEARCH({"0";"1";"2";"3";"4";"5";"6";"7";"8"},SUBSTITUTE(I26," ","")))))</f>
        <v>1</v>
      </c>
      <c r="S26">
        <f t="shared" si="1"/>
        <v>0</v>
      </c>
      <c r="T26" cm="1">
        <f t="array" ref="T26">SUMPRODUCT(--(ISNUMBER(SEARCH({"0";"1";"2";"3";"4";"5";"6";"7";"8"},SUBSTITUTE(C26," ",""))) * ISNUMBER(SEARCH({"0";"1";"2";"3";"4";"5";"6";"7";"8"},SUBSTITUTE(G26," ","")))))</f>
        <v>1</v>
      </c>
      <c r="U26">
        <f t="shared" si="6"/>
        <v>0</v>
      </c>
      <c r="V26" cm="1">
        <f t="array" ref="V26">SUMPRODUCT(--(ISNUMBER(SEARCH({"0";"1";"2";"3";"4";"5";"6";"7";"8"},SUBSTITUTE(K26," ",""))) * ISNUMBER(SEARCH({"0";"1";"2";"3";"4";"5";"6";"7";"8"},SUBSTITUTE(G26," ","")))))</f>
        <v>1</v>
      </c>
      <c r="W26">
        <f t="shared" si="2"/>
        <v>0</v>
      </c>
      <c r="X26" cm="1">
        <f t="array" ref="X26">SUMPRODUCT(--(ISNUMBER(SEARCH({"0";"1";"2";"3";"4";"5";"6";"7";"8"},SUBSTITUTE(K26," ",""))) * ISNUMBER(SEARCH({"0";"1";"2";"3";"4";"5";"6";"7";"8"},SUBSTITUTE(C26," ","")))))</f>
        <v>1</v>
      </c>
      <c r="Y26">
        <f t="shared" si="7"/>
        <v>0</v>
      </c>
      <c r="Z26" cm="1">
        <f t="array" ref="Z26">SUMPRODUCT(--(ISNUMBER(SEARCH({"0";"1";"2";"3";"4";"5";"6";"7";"8"},SUBSTITUTE(K26," ",""))) * ISNUMBER(SEARCH({"0";"1";"2";"3";"4";"5";"6";"7";"8"},SUBSTITUTE(I26," ","")))))</f>
        <v>1</v>
      </c>
    </row>
    <row r="27" spans="1:28" ht="34" x14ac:dyDescent="0.2">
      <c r="A27" t="s">
        <v>80</v>
      </c>
      <c r="B27" s="5" t="s">
        <v>81</v>
      </c>
      <c r="C27" s="8" t="s">
        <v>82</v>
      </c>
      <c r="D27">
        <v>1</v>
      </c>
      <c r="G27" s="8">
        <f>'Sara Mappings'!C27</f>
        <v>0</v>
      </c>
      <c r="H27" s="9" t="str">
        <f>IF('Sara Mappings'!D27=0,"",'Sara Mappings'!D27)</f>
        <v>Cyberspace Practice</v>
      </c>
      <c r="I27">
        <f>'Valtteri Mappings'!C27</f>
        <v>1</v>
      </c>
      <c r="J27" t="str">
        <f>IF('Valtteri Mappings'!D27=0,"",'Valtteri Mappings'!D27)</f>
        <v/>
      </c>
      <c r="K27">
        <f>'Paul Mappings'!C27</f>
        <v>1</v>
      </c>
      <c r="L27" t="str">
        <f>IF('Paul Mappings'!D27=0,"",'Paul Mappings'!D27)</f>
        <v/>
      </c>
      <c r="O27">
        <f t="shared" si="3"/>
        <v>0</v>
      </c>
      <c r="P27" cm="1">
        <f t="array" ref="P27">SUMPRODUCT(--(ISNUMBER(SEARCH({"0";"1";"2";"3";"4";"5";"6";"7";"8"},SUBSTITUTE(G27," ",""))) * ISNUMBER(SEARCH({"0";"1";"2";"3";"4";"5";"6";"7";"8"},SUBSTITUTE(I27," ","")))))</f>
        <v>0</v>
      </c>
      <c r="Q27">
        <f t="shared" si="0"/>
        <v>0</v>
      </c>
      <c r="R27" cm="1">
        <f t="array" ref="R27">SUMPRODUCT(--(ISNUMBER(SEARCH({"0";"1";"2";"3";"4";"5";"6";"7";"8"},SUBSTITUTE(C27," ",""))) * ISNUMBER(SEARCH({"0";"1";"2";"3";"4";"5";"6";"7";"8"},SUBSTITUTE(I27," ","")))))</f>
        <v>1</v>
      </c>
      <c r="S27">
        <f t="shared" si="1"/>
        <v>0</v>
      </c>
      <c r="T27" cm="1">
        <f t="array" ref="T27">SUMPRODUCT(--(ISNUMBER(SEARCH({"0";"1";"2";"3";"4";"5";"6";"7";"8"},SUBSTITUTE(C27," ",""))) * ISNUMBER(SEARCH({"0";"1";"2";"3";"4";"5";"6";"7";"8"},SUBSTITUTE(G27," ","")))))</f>
        <v>0</v>
      </c>
      <c r="U27">
        <f t="shared" si="6"/>
        <v>0</v>
      </c>
      <c r="V27" cm="1">
        <f t="array" ref="V27">SUMPRODUCT(--(ISNUMBER(SEARCH({"0";"1";"2";"3";"4";"5";"6";"7";"8"},SUBSTITUTE(K27," ",""))) * ISNUMBER(SEARCH({"0";"1";"2";"3";"4";"5";"6";"7";"8"},SUBSTITUTE(G27," ","")))))</f>
        <v>0</v>
      </c>
      <c r="W27">
        <f t="shared" si="2"/>
        <v>0</v>
      </c>
      <c r="X27" cm="1">
        <f t="array" ref="X27">SUMPRODUCT(--(ISNUMBER(SEARCH({"0";"1";"2";"3";"4";"5";"6";"7";"8"},SUBSTITUTE(K27," ",""))) * ISNUMBER(SEARCH({"0";"1";"2";"3";"4";"5";"6";"7";"8"},SUBSTITUTE(C27," ","")))))</f>
        <v>1</v>
      </c>
      <c r="Y27">
        <f t="shared" si="7"/>
        <v>1</v>
      </c>
      <c r="Z27" cm="1">
        <f t="array" ref="Z27">SUMPRODUCT(--(ISNUMBER(SEARCH({"0";"1";"2";"3";"4";"5";"6";"7";"8"},SUBSTITUTE(K27," ",""))) * ISNUMBER(SEARCH({"0";"1";"2";"3";"4";"5";"6";"7";"8"},SUBSTITUTE(I27," ","")))))</f>
        <v>1</v>
      </c>
    </row>
    <row r="28" spans="1:28" ht="34" x14ac:dyDescent="0.2">
      <c r="A28" t="s">
        <v>83</v>
      </c>
      <c r="B28" s="5" t="s">
        <v>84</v>
      </c>
      <c r="C28" s="8" t="s">
        <v>85</v>
      </c>
      <c r="D28">
        <v>1</v>
      </c>
      <c r="G28" s="8">
        <f>'Sara Mappings'!C28</f>
        <v>0</v>
      </c>
      <c r="H28" s="9" t="str">
        <f>IF('Sara Mappings'!D28=0,"",'Sara Mappings'!D28)</f>
        <v>cs</v>
      </c>
      <c r="I28">
        <f>'Valtteri Mappings'!C28</f>
        <v>0</v>
      </c>
      <c r="J28" t="str">
        <f>IF('Valtteri Mappings'!D28=0,"",'Valtteri Mappings'!D28)</f>
        <v/>
      </c>
      <c r="K28">
        <f>'Paul Mappings'!C28</f>
        <v>2.5</v>
      </c>
      <c r="L28" t="str">
        <f>IF('Paul Mappings'!D28=0,"",'Paul Mappings'!D28)</f>
        <v/>
      </c>
      <c r="O28">
        <f t="shared" si="3"/>
        <v>1</v>
      </c>
      <c r="P28" cm="1">
        <f t="array" ref="P28">SUMPRODUCT(--(ISNUMBER(SEARCH({"0";"1";"2";"3";"4";"5";"6";"7";"8"},SUBSTITUTE(G28," ",""))) * ISNUMBER(SEARCH({"0";"1";"2";"3";"4";"5";"6";"7";"8"},SUBSTITUTE(I28," ","")))))</f>
        <v>1</v>
      </c>
      <c r="Q28">
        <f t="shared" si="0"/>
        <v>0</v>
      </c>
      <c r="R28" cm="1">
        <f t="array" ref="R28">SUMPRODUCT(--(ISNUMBER(SEARCH({"0";"1";"2";"3";"4";"5";"6";"7";"8"},SUBSTITUTE(C28," ",""))) * ISNUMBER(SEARCH({"0";"1";"2";"3";"4";"5";"6";"7";"8"},SUBSTITUTE(I28," ","")))))</f>
        <v>1</v>
      </c>
      <c r="S28">
        <f t="shared" si="1"/>
        <v>0</v>
      </c>
      <c r="T28" cm="1">
        <f t="array" ref="T28">SUMPRODUCT(--(ISNUMBER(SEARCH({"0";"1";"2";"3";"4";"5";"6";"7";"8"},SUBSTITUTE(C28," ",""))) * ISNUMBER(SEARCH({"0";"1";"2";"3";"4";"5";"6";"7";"8"},SUBSTITUTE(G28," ","")))))</f>
        <v>1</v>
      </c>
      <c r="U28">
        <f t="shared" si="6"/>
        <v>0</v>
      </c>
      <c r="V28" cm="1">
        <f t="array" ref="V28">SUMPRODUCT(--(ISNUMBER(SEARCH({"0";"1";"2";"3";"4";"5";"6";"7";"8"},SUBSTITUTE(K28," ",""))) * ISNUMBER(SEARCH({"0";"1";"2";"3";"4";"5";"6";"7";"8"},SUBSTITUTE(G28," ","")))))</f>
        <v>0</v>
      </c>
      <c r="W28">
        <f t="shared" si="2"/>
        <v>0</v>
      </c>
      <c r="X28" cm="1">
        <f t="array" ref="X28">SUMPRODUCT(--(ISNUMBER(SEARCH({"0";"1";"2";"3";"4";"5";"6";"7";"8"},SUBSTITUTE(K28," ",""))) * ISNUMBER(SEARCH({"0";"1";"2";"3";"4";"5";"6";"7";"8"},SUBSTITUTE(C28," ","")))))</f>
        <v>1</v>
      </c>
      <c r="Y28">
        <f t="shared" si="7"/>
        <v>0</v>
      </c>
      <c r="Z28" cm="1">
        <f t="array" ref="Z28">SUMPRODUCT(--(ISNUMBER(SEARCH({"0";"1";"2";"3";"4";"5";"6";"7";"8"},SUBSTITUTE(K28," ",""))) * ISNUMBER(SEARCH({"0";"1";"2";"3";"4";"5";"6";"7";"8"},SUBSTITUTE(I28," ","")))))</f>
        <v>0</v>
      </c>
    </row>
    <row r="29" spans="1:28" ht="34" x14ac:dyDescent="0.2">
      <c r="A29" t="s">
        <v>86</v>
      </c>
      <c r="B29" s="5" t="s">
        <v>87</v>
      </c>
      <c r="C29" s="8" t="s">
        <v>25</v>
      </c>
      <c r="D29">
        <v>1</v>
      </c>
      <c r="G29" s="8">
        <f>'Sara Mappings'!C29</f>
        <v>0</v>
      </c>
      <c r="H29" s="9" t="str">
        <f>IF('Sara Mappings'!D29=0,"",'Sara Mappings'!D29)</f>
        <v>Cyberspace Practice</v>
      </c>
      <c r="I29">
        <f>'Valtteri Mappings'!C29</f>
        <v>0</v>
      </c>
      <c r="J29" t="str">
        <f>IF('Valtteri Mappings'!D29=0,"",'Valtteri Mappings'!D29)</f>
        <v>Intelligence</v>
      </c>
      <c r="K29">
        <f>'Paul Mappings'!C29</f>
        <v>7</v>
      </c>
      <c r="L29" t="str">
        <f>IF('Paul Mappings'!D29=0,"",'Paul Mappings'!D29)</f>
        <v/>
      </c>
      <c r="O29">
        <f t="shared" si="3"/>
        <v>1</v>
      </c>
      <c r="P29" cm="1">
        <f t="array" ref="P29">SUMPRODUCT(--(ISNUMBER(SEARCH({"0";"1";"2";"3";"4";"5";"6";"7";"8"},SUBSTITUTE(G29," ",""))) * ISNUMBER(SEARCH({"0";"1";"2";"3";"4";"5";"6";"7";"8"},SUBSTITUTE(I29," ","")))))</f>
        <v>1</v>
      </c>
      <c r="Q29">
        <f t="shared" si="0"/>
        <v>1</v>
      </c>
      <c r="R29" cm="1">
        <f t="array" ref="R29">SUMPRODUCT(--(ISNUMBER(SEARCH({"0";"1";"2";"3";"4";"5";"6";"7";"8"},SUBSTITUTE(C29," ",""))) * ISNUMBER(SEARCH({"0";"1";"2";"3";"4";"5";"6";"7";"8"},SUBSTITUTE(I29," ","")))))</f>
        <v>1</v>
      </c>
      <c r="S29">
        <f t="shared" si="1"/>
        <v>1</v>
      </c>
      <c r="T29" cm="1">
        <f t="array" ref="T29">SUMPRODUCT(--(ISNUMBER(SEARCH({"0";"1";"2";"3";"4";"5";"6";"7";"8"},SUBSTITUTE(C29," ",""))) * ISNUMBER(SEARCH({"0";"1";"2";"3";"4";"5";"6";"7";"8"},SUBSTITUTE(G29," ","")))))</f>
        <v>1</v>
      </c>
      <c r="U29">
        <f t="shared" si="6"/>
        <v>0</v>
      </c>
      <c r="V29" cm="1">
        <f t="array" ref="V29">SUMPRODUCT(--(ISNUMBER(SEARCH({"0";"1";"2";"3";"4";"5";"6";"7";"8"},SUBSTITUTE(K29," ",""))) * ISNUMBER(SEARCH({"0";"1";"2";"3";"4";"5";"6";"7";"8"},SUBSTITUTE(G29," ","")))))</f>
        <v>0</v>
      </c>
      <c r="W29">
        <f t="shared" si="2"/>
        <v>0</v>
      </c>
      <c r="X29" cm="1">
        <f t="array" ref="X29">SUMPRODUCT(--(ISNUMBER(SEARCH({"0";"1";"2";"3";"4";"5";"6";"7";"8"},SUBSTITUTE(K29," ",""))) * ISNUMBER(SEARCH({"0";"1";"2";"3";"4";"5";"6";"7";"8"},SUBSTITUTE(C29," ","")))))</f>
        <v>0</v>
      </c>
      <c r="Y29">
        <f t="shared" si="7"/>
        <v>0</v>
      </c>
      <c r="Z29" cm="1">
        <f t="array" ref="Z29">SUMPRODUCT(--(ISNUMBER(SEARCH({"0";"1";"2";"3";"4";"5";"6";"7";"8"},SUBSTITUTE(K29," ",""))) * ISNUMBER(SEARCH({"0";"1";"2";"3";"4";"5";"6";"7";"8"},SUBSTITUTE(I29," ","")))))</f>
        <v>0</v>
      </c>
    </row>
    <row r="30" spans="1:28" ht="34" x14ac:dyDescent="0.2">
      <c r="A30" t="s">
        <v>88</v>
      </c>
      <c r="B30" s="5" t="s">
        <v>89</v>
      </c>
      <c r="C30" s="8" t="s">
        <v>58</v>
      </c>
      <c r="D30">
        <v>1</v>
      </c>
      <c r="G30" s="8">
        <f>'Sara Mappings'!C30</f>
        <v>0</v>
      </c>
      <c r="H30" s="9" t="str">
        <f>IF('Sara Mappings'!D30=0,"",'Sara Mappings'!D30)</f>
        <v>Cyberspace Practice</v>
      </c>
      <c r="I30">
        <f>'Valtteri Mappings'!C30</f>
        <v>7</v>
      </c>
      <c r="J30" t="str">
        <f>IF('Valtteri Mappings'!D30=0,"",'Valtteri Mappings'!D30)</f>
        <v/>
      </c>
      <c r="K30">
        <f>'Paul Mappings'!C30</f>
        <v>7</v>
      </c>
      <c r="L30" t="str">
        <f>IF('Paul Mappings'!D30=0,"",'Paul Mappings'!D30)</f>
        <v>incident management</v>
      </c>
      <c r="O30">
        <f t="shared" si="3"/>
        <v>0</v>
      </c>
      <c r="P30" cm="1">
        <f t="array" ref="P30">SUMPRODUCT(--(ISNUMBER(SEARCH({"0";"1";"2";"3";"4";"5";"6";"7";"8"},SUBSTITUTE(G30," ",""))) * ISNUMBER(SEARCH({"0";"1";"2";"3";"4";"5";"6";"7";"8"},SUBSTITUTE(I30," ","")))))</f>
        <v>0</v>
      </c>
      <c r="Q30">
        <f t="shared" si="0"/>
        <v>0</v>
      </c>
      <c r="R30" cm="1">
        <f t="array" ref="R30">SUMPRODUCT(--(ISNUMBER(SEARCH({"0";"1";"2";"3";"4";"5";"6";"7";"8"},SUBSTITUTE(C30," ",""))) * ISNUMBER(SEARCH({"0";"1";"2";"3";"4";"5";"6";"7";"8"},SUBSTITUTE(I30," ","")))))</f>
        <v>1</v>
      </c>
      <c r="S30">
        <f t="shared" si="1"/>
        <v>0</v>
      </c>
      <c r="T30" cm="1">
        <f t="array" ref="T30">SUMPRODUCT(--(ISNUMBER(SEARCH({"0";"1";"2";"3";"4";"5";"6";"7";"8"},SUBSTITUTE(C30," ",""))) * ISNUMBER(SEARCH({"0";"1";"2";"3";"4";"5";"6";"7";"8"},SUBSTITUTE(G30," ","")))))</f>
        <v>1</v>
      </c>
      <c r="U30">
        <f t="shared" si="6"/>
        <v>0</v>
      </c>
      <c r="V30" cm="1">
        <f t="array" ref="V30">SUMPRODUCT(--(ISNUMBER(SEARCH({"0";"1";"2";"3";"4";"5";"6";"7";"8"},SUBSTITUTE(K30," ",""))) * ISNUMBER(SEARCH({"0";"1";"2";"3";"4";"5";"6";"7";"8"},SUBSTITUTE(G30," ","")))))</f>
        <v>0</v>
      </c>
      <c r="W30">
        <f t="shared" si="2"/>
        <v>0</v>
      </c>
      <c r="X30" cm="1">
        <f t="array" ref="X30">SUMPRODUCT(--(ISNUMBER(SEARCH({"0";"1";"2";"3";"4";"5";"6";"7";"8"},SUBSTITUTE(K30," ",""))) * ISNUMBER(SEARCH({"0";"1";"2";"3";"4";"5";"6";"7";"8"},SUBSTITUTE(C30," ","")))))</f>
        <v>1</v>
      </c>
      <c r="Y30">
        <f t="shared" si="7"/>
        <v>1</v>
      </c>
      <c r="Z30" cm="1">
        <f t="array" ref="Z30">SUMPRODUCT(--(ISNUMBER(SEARCH({"0";"1";"2";"3";"4";"5";"6";"7";"8"},SUBSTITUTE(K30," ",""))) * ISNUMBER(SEARCH({"0";"1";"2";"3";"4";"5";"6";"7";"8"},SUBSTITUTE(I30," ","")))))</f>
        <v>1</v>
      </c>
    </row>
    <row r="31" spans="1:28" ht="34" x14ac:dyDescent="0.2">
      <c r="A31" t="s">
        <v>90</v>
      </c>
      <c r="B31" s="5" t="s">
        <v>91</v>
      </c>
      <c r="C31" s="8" t="s">
        <v>92</v>
      </c>
      <c r="D31">
        <v>0</v>
      </c>
      <c r="E31">
        <v>1</v>
      </c>
      <c r="G31" s="8">
        <f>'Sara Mappings'!C31</f>
        <v>0</v>
      </c>
      <c r="H31" s="9" t="str">
        <f>IF('Sara Mappings'!D31=0,"",'Sara Mappings'!D31)</f>
        <v>Cyberspace Practice</v>
      </c>
      <c r="I31">
        <f>'Valtteri Mappings'!C31</f>
        <v>5</v>
      </c>
      <c r="J31" t="str">
        <f>IF('Valtteri Mappings'!D31=0,"",'Valtteri Mappings'!D31)</f>
        <v/>
      </c>
      <c r="K31">
        <f>'Paul Mappings'!C31</f>
        <v>1</v>
      </c>
      <c r="L31" t="str">
        <f>IF('Paul Mappings'!D31=0,"",'Paul Mappings'!D31)</f>
        <v>digital forensic tools and investigatory process</v>
      </c>
      <c r="O31">
        <f t="shared" si="3"/>
        <v>0</v>
      </c>
      <c r="P31" cm="1">
        <f t="array" ref="P31">SUMPRODUCT(--(ISNUMBER(SEARCH({"0";"1";"2";"3";"4";"5";"6";"7";"8"},SUBSTITUTE(G31," ",""))) * ISNUMBER(SEARCH({"0";"1";"2";"3";"4";"5";"6";"7";"8"},SUBSTITUTE(I31," ","")))))</f>
        <v>0</v>
      </c>
      <c r="Q31">
        <f t="shared" si="0"/>
        <v>0</v>
      </c>
      <c r="R31" cm="1">
        <f t="array" ref="R31">SUMPRODUCT(--(ISNUMBER(SEARCH({"0";"1";"2";"3";"4";"5";"6";"7";"8"},SUBSTITUTE(C31," ",""))) * ISNUMBER(SEARCH({"0";"1";"2";"3";"4";"5";"6";"7";"8"},SUBSTITUTE(I31," ","")))))</f>
        <v>1</v>
      </c>
      <c r="S31">
        <f t="shared" si="1"/>
        <v>0</v>
      </c>
      <c r="T31" cm="1">
        <f t="array" ref="T31">SUMPRODUCT(--(ISNUMBER(SEARCH({"0";"1";"2";"3";"4";"5";"6";"7";"8"},SUBSTITUTE(C31," ",""))) * ISNUMBER(SEARCH({"0";"1";"2";"3";"4";"5";"6";"7";"8"},SUBSTITUTE(G31," ","")))))</f>
        <v>0</v>
      </c>
      <c r="U31">
        <f t="shared" si="6"/>
        <v>0</v>
      </c>
      <c r="V31" cm="1">
        <f t="array" ref="V31">SUMPRODUCT(--(ISNUMBER(SEARCH({"0";"1";"2";"3";"4";"5";"6";"7";"8"},SUBSTITUTE(K31," ",""))) * ISNUMBER(SEARCH({"0";"1";"2";"3";"4";"5";"6";"7";"8"},SUBSTITUTE(G31," ","")))))</f>
        <v>0</v>
      </c>
      <c r="W31">
        <f t="shared" si="2"/>
        <v>0</v>
      </c>
      <c r="X31" cm="1">
        <f t="array" ref="X31">SUMPRODUCT(--(ISNUMBER(SEARCH({"0";"1";"2";"3";"4";"5";"6";"7";"8"},SUBSTITUTE(K31," ",""))) * ISNUMBER(SEARCH({"0";"1";"2";"3";"4";"5";"6";"7";"8"},SUBSTITUTE(C31," ","")))))</f>
        <v>0</v>
      </c>
      <c r="Y31">
        <f t="shared" si="7"/>
        <v>0</v>
      </c>
      <c r="Z31" cm="1">
        <f t="array" ref="Z31">SUMPRODUCT(--(ISNUMBER(SEARCH({"0";"1";"2";"3";"4";"5";"6";"7";"8"},SUBSTITUTE(K31," ",""))) * ISNUMBER(SEARCH({"0";"1";"2";"3";"4";"5";"6";"7";"8"},SUBSTITUTE(I31," ","")))))</f>
        <v>0</v>
      </c>
    </row>
    <row r="32" spans="1:28" ht="51" x14ac:dyDescent="0.2">
      <c r="A32" t="s">
        <v>93</v>
      </c>
      <c r="B32" s="5" t="s">
        <v>94</v>
      </c>
      <c r="C32" s="8" t="s">
        <v>22</v>
      </c>
      <c r="D32">
        <v>0</v>
      </c>
      <c r="G32" s="8">
        <f>'Sara Mappings'!C32</f>
        <v>0</v>
      </c>
      <c r="H32" s="9" t="str">
        <f>IF('Sara Mappings'!D32=0,"",'Sara Mappings'!D32)</f>
        <v>pedagogy</v>
      </c>
      <c r="I32">
        <f>'Valtteri Mappings'!C32</f>
        <v>5</v>
      </c>
      <c r="J32" t="str">
        <f>IF('Valtteri Mappings'!D32=0,"",'Valtteri Mappings'!D32)</f>
        <v/>
      </c>
      <c r="K32">
        <f>'Paul Mappings'!C32</f>
        <v>5</v>
      </c>
      <c r="L32" t="str">
        <f>IF('Paul Mappings'!D32=0,"",'Paul Mappings'!D32)</f>
        <v/>
      </c>
      <c r="O32">
        <f t="shared" si="3"/>
        <v>0</v>
      </c>
      <c r="P32" cm="1">
        <f t="array" ref="P32">SUMPRODUCT(--(ISNUMBER(SEARCH({"0";"1";"2";"3";"4";"5";"6";"7";"8"},SUBSTITUTE(G32," ",""))) * ISNUMBER(SEARCH({"0";"1";"2";"3";"4";"5";"6";"7";"8"},SUBSTITUTE(I32," ","")))))</f>
        <v>0</v>
      </c>
      <c r="Q32">
        <f t="shared" si="0"/>
        <v>0</v>
      </c>
      <c r="R32" cm="1">
        <f t="array" ref="R32">SUMPRODUCT(--(ISNUMBER(SEARCH({"0";"1";"2";"3";"4";"5";"6";"7";"8"},SUBSTITUTE(C32," ",""))) * ISNUMBER(SEARCH({"0";"1";"2";"3";"4";"5";"6";"7";"8"},SUBSTITUTE(I32," ","")))))</f>
        <v>0</v>
      </c>
      <c r="S32">
        <f t="shared" si="1"/>
        <v>0</v>
      </c>
      <c r="T32" cm="1">
        <f t="array" ref="T32">SUMPRODUCT(--(ISNUMBER(SEARCH({"0";"1";"2";"3";"4";"5";"6";"7";"8"},SUBSTITUTE(C32," ",""))) * ISNUMBER(SEARCH({"0";"1";"2";"3";"4";"5";"6";"7";"8"},SUBSTITUTE(G32," ","")))))</f>
        <v>0</v>
      </c>
      <c r="U32">
        <f t="shared" si="6"/>
        <v>0</v>
      </c>
      <c r="V32" cm="1">
        <f t="array" ref="V32">SUMPRODUCT(--(ISNUMBER(SEARCH({"0";"1";"2";"3";"4";"5";"6";"7";"8"},SUBSTITUTE(K32," ",""))) * ISNUMBER(SEARCH({"0";"1";"2";"3";"4";"5";"6";"7";"8"},SUBSTITUTE(G32," ","")))))</f>
        <v>0</v>
      </c>
      <c r="W32">
        <f t="shared" si="2"/>
        <v>0</v>
      </c>
      <c r="X32" cm="1">
        <f t="array" ref="X32">SUMPRODUCT(--(ISNUMBER(SEARCH({"0";"1";"2";"3";"4";"5";"6";"7";"8"},SUBSTITUTE(K32," ",""))) * ISNUMBER(SEARCH({"0";"1";"2";"3";"4";"5";"6";"7";"8"},SUBSTITUTE(C32," ","")))))</f>
        <v>0</v>
      </c>
      <c r="Y32">
        <f t="shared" si="7"/>
        <v>1</v>
      </c>
      <c r="Z32" cm="1">
        <f t="array" ref="Z32">SUMPRODUCT(--(ISNUMBER(SEARCH({"0";"1";"2";"3";"4";"5";"6";"7";"8"},SUBSTITUTE(K32," ",""))) * ISNUMBER(SEARCH({"0";"1";"2";"3";"4";"5";"6";"7";"8"},SUBSTITUTE(I32," ","")))))</f>
        <v>1</v>
      </c>
    </row>
    <row r="33" spans="1:26" ht="17" x14ac:dyDescent="0.2">
      <c r="A33" t="s">
        <v>95</v>
      </c>
      <c r="B33" s="5" t="s">
        <v>96</v>
      </c>
      <c r="C33" s="8" t="s">
        <v>58</v>
      </c>
      <c r="D33">
        <v>1</v>
      </c>
      <c r="G33" s="8">
        <f>'Sara Mappings'!C33</f>
        <v>7</v>
      </c>
      <c r="H33" s="9" t="str">
        <f>IF('Sara Mappings'!D33=0,"",'Sara Mappings'!D33)</f>
        <v/>
      </c>
      <c r="I33">
        <f>'Valtteri Mappings'!C33</f>
        <v>0</v>
      </c>
      <c r="J33" t="str">
        <f>IF('Valtteri Mappings'!D33=0,"",'Valtteri Mappings'!D33)</f>
        <v/>
      </c>
      <c r="K33">
        <f>'Paul Mappings'!C33</f>
        <v>7</v>
      </c>
      <c r="L33" t="str">
        <f>IF('Paul Mappings'!D33=0,"",'Paul Mappings'!D33)</f>
        <v>or 0 cyberspace practice</v>
      </c>
      <c r="O33">
        <f t="shared" si="3"/>
        <v>0</v>
      </c>
      <c r="P33" cm="1">
        <f t="array" ref="P33">SUMPRODUCT(--(ISNUMBER(SEARCH({"0";"1";"2";"3";"4";"5";"6";"7";"8"},SUBSTITUTE(G33," ",""))) * ISNUMBER(SEARCH({"0";"1";"2";"3";"4";"5";"6";"7";"8"},SUBSTITUTE(I33," ","")))))</f>
        <v>0</v>
      </c>
      <c r="Q33">
        <f t="shared" si="0"/>
        <v>0</v>
      </c>
      <c r="R33" cm="1">
        <f t="array" ref="R33">SUMPRODUCT(--(ISNUMBER(SEARCH({"0";"1";"2";"3";"4";"5";"6";"7";"8"},SUBSTITUTE(C33," ",""))) * ISNUMBER(SEARCH({"0";"1";"2";"3";"4";"5";"6";"7";"8"},SUBSTITUTE(I33," ","")))))</f>
        <v>1</v>
      </c>
      <c r="S33">
        <f t="shared" si="1"/>
        <v>0</v>
      </c>
      <c r="T33" cm="1">
        <f t="array" ref="T33">SUMPRODUCT(--(ISNUMBER(SEARCH({"0";"1";"2";"3";"4";"5";"6";"7";"8"},SUBSTITUTE(C33," ",""))) * ISNUMBER(SEARCH({"0";"1";"2";"3";"4";"5";"6";"7";"8"},SUBSTITUTE(G33," ","")))))</f>
        <v>1</v>
      </c>
      <c r="U33">
        <f t="shared" si="6"/>
        <v>1</v>
      </c>
      <c r="V33" cm="1">
        <f t="array" ref="V33">SUMPRODUCT(--(ISNUMBER(SEARCH({"0";"1";"2";"3";"4";"5";"6";"7";"8"},SUBSTITUTE(K33," ",""))) * ISNUMBER(SEARCH({"0";"1";"2";"3";"4";"5";"6";"7";"8"},SUBSTITUTE(G33," ","")))))</f>
        <v>1</v>
      </c>
      <c r="W33">
        <f t="shared" si="2"/>
        <v>0</v>
      </c>
      <c r="X33" cm="1">
        <f t="array" ref="X33">SUMPRODUCT(--(ISNUMBER(SEARCH({"0";"1";"2";"3";"4";"5";"6";"7";"8"},SUBSTITUTE(K33," ",""))) * ISNUMBER(SEARCH({"0";"1";"2";"3";"4";"5";"6";"7";"8"},SUBSTITUTE(C33," ","")))))</f>
        <v>1</v>
      </c>
      <c r="Y33">
        <f t="shared" si="7"/>
        <v>0</v>
      </c>
      <c r="Z33" cm="1">
        <f t="array" ref="Z33">SUMPRODUCT(--(ISNUMBER(SEARCH({"0";"1";"2";"3";"4";"5";"6";"7";"8"},SUBSTITUTE(K33," ",""))) * ISNUMBER(SEARCH({"0";"1";"2";"3";"4";"5";"6";"7";"8"},SUBSTITUTE(I33," ","")))))</f>
        <v>0</v>
      </c>
    </row>
    <row r="34" spans="1:26" ht="34" x14ac:dyDescent="0.2">
      <c r="A34" t="s">
        <v>97</v>
      </c>
      <c r="B34" s="5" t="s">
        <v>98</v>
      </c>
      <c r="C34" s="8" t="s">
        <v>22</v>
      </c>
      <c r="D34">
        <v>0</v>
      </c>
      <c r="G34" s="8">
        <f>'Sara Mappings'!C34</f>
        <v>0</v>
      </c>
      <c r="H34" s="9" t="str">
        <f>IF('Sara Mappings'!D34=0,"",'Sara Mappings'!D34)</f>
        <v>Cyberspace Practice</v>
      </c>
      <c r="I34">
        <f>'Valtteri Mappings'!C34</f>
        <v>7</v>
      </c>
      <c r="J34" t="str">
        <f>IF('Valtteri Mappings'!D34=0,"",'Valtteri Mappings'!D34)</f>
        <v/>
      </c>
      <c r="K34">
        <f>'Paul Mappings'!C34</f>
        <v>0</v>
      </c>
      <c r="L34" t="str">
        <f>IF('Paul Mappings'!D34=0,"",'Paul Mappings'!D34)</f>
        <v>cybersecurity practice</v>
      </c>
      <c r="O34">
        <f t="shared" si="3"/>
        <v>0</v>
      </c>
      <c r="P34" cm="1">
        <f t="array" ref="P34">SUMPRODUCT(--(ISNUMBER(SEARCH({"0";"1";"2";"3";"4";"5";"6";"7";"8"},SUBSTITUTE(G34," ",""))) * ISNUMBER(SEARCH({"0";"1";"2";"3";"4";"5";"6";"7";"8"},SUBSTITUTE(I34," ","")))))</f>
        <v>0</v>
      </c>
      <c r="Q34">
        <f t="shared" ref="Q34:Q51" si="8">IF(SUBSTITUTE(C34," ","") = SUBSTITUTE(I34," ",""), 1, 0)</f>
        <v>1</v>
      </c>
      <c r="R34" cm="1">
        <f t="array" ref="R34">SUMPRODUCT(--(ISNUMBER(SEARCH({"0";"1";"2";"3";"4";"5";"6";"7";"8"},SUBSTITUTE(C34," ",""))) * ISNUMBER(SEARCH({"0";"1";"2";"3";"4";"5";"6";"7";"8"},SUBSTITUTE(I34," ","")))))</f>
        <v>1</v>
      </c>
      <c r="S34">
        <f t="shared" ref="S34:S51" si="9">IF(SUBSTITUTE(C34," ","") = SUBSTITUTE(G34," ",""), 1, 0)</f>
        <v>0</v>
      </c>
      <c r="T34" cm="1">
        <f t="array" ref="T34">SUMPRODUCT(--(ISNUMBER(SEARCH({"0";"1";"2";"3";"4";"5";"6";"7";"8"},SUBSTITUTE(C34," ",""))) * ISNUMBER(SEARCH({"0";"1";"2";"3";"4";"5";"6";"7";"8"},SUBSTITUTE(G34," ","")))))</f>
        <v>0</v>
      </c>
      <c r="U34">
        <f t="shared" si="6"/>
        <v>1</v>
      </c>
      <c r="V34" cm="1">
        <f t="array" ref="V34">SUMPRODUCT(--(ISNUMBER(SEARCH({"0";"1";"2";"3";"4";"5";"6";"7";"8"},SUBSTITUTE(K34," ",""))) * ISNUMBER(SEARCH({"0";"1";"2";"3";"4";"5";"6";"7";"8"},SUBSTITUTE(G34," ","")))))</f>
        <v>1</v>
      </c>
      <c r="W34">
        <f t="shared" ref="W34:W51" si="10">IF(SUBSTITUTE(K34," ","") = SUBSTITUTE(C34," ",""), 1, 0)</f>
        <v>0</v>
      </c>
      <c r="X34" cm="1">
        <f t="array" ref="X34">SUMPRODUCT(--(ISNUMBER(SEARCH({"0";"1";"2";"3";"4";"5";"6";"7";"8"},SUBSTITUTE(K34," ",""))) * ISNUMBER(SEARCH({"0";"1";"2";"3";"4";"5";"6";"7";"8"},SUBSTITUTE(C34," ","")))))</f>
        <v>0</v>
      </c>
      <c r="Y34">
        <f t="shared" si="7"/>
        <v>0</v>
      </c>
      <c r="Z34" cm="1">
        <f t="array" ref="Z34">SUMPRODUCT(--(ISNUMBER(SEARCH({"0";"1";"2";"3";"4";"5";"6";"7";"8"},SUBSTITUTE(K34," ",""))) * ISNUMBER(SEARCH({"0";"1";"2";"3";"4";"5";"6";"7";"8"},SUBSTITUTE(I34," ","")))))</f>
        <v>0</v>
      </c>
    </row>
    <row r="35" spans="1:26" ht="34" x14ac:dyDescent="0.2">
      <c r="A35" t="s">
        <v>99</v>
      </c>
      <c r="B35" s="5" t="s">
        <v>100</v>
      </c>
      <c r="C35" s="8" t="s">
        <v>101</v>
      </c>
      <c r="D35">
        <v>1</v>
      </c>
      <c r="G35" s="8">
        <f>'Sara Mappings'!C35</f>
        <v>1</v>
      </c>
      <c r="H35" s="9" t="str">
        <f>IF('Sara Mappings'!D35=0,"",'Sara Mappings'!D35)</f>
        <v/>
      </c>
      <c r="I35">
        <f>'Valtteri Mappings'!C35</f>
        <v>1</v>
      </c>
      <c r="J35" t="str">
        <f>IF('Valtteri Mappings'!D35=0,"",'Valtteri Mappings'!D35)</f>
        <v/>
      </c>
      <c r="K35">
        <f>'Paul Mappings'!C35</f>
        <v>1</v>
      </c>
      <c r="L35" t="str">
        <f>IF('Paul Mappings'!D35=0,"",'Paul Mappings'!D35)</f>
        <v>low level interpretation. Could be component, system,…</v>
      </c>
      <c r="O35">
        <f t="shared" si="3"/>
        <v>1</v>
      </c>
      <c r="P35" cm="1">
        <f t="array" ref="P35">SUMPRODUCT(--(ISNUMBER(SEARCH({"0";"1";"2";"3";"4";"5";"6";"7";"8"},SUBSTITUTE(G35," ",""))) * ISNUMBER(SEARCH({"0";"1";"2";"3";"4";"5";"6";"7";"8"},SUBSTITUTE(I35," ","")))))</f>
        <v>1</v>
      </c>
      <c r="Q35">
        <f t="shared" si="8"/>
        <v>1</v>
      </c>
      <c r="R35" cm="1">
        <f t="array" ref="R35">SUMPRODUCT(--(ISNUMBER(SEARCH({"0";"1";"2";"3";"4";"5";"6";"7";"8"},SUBSTITUTE(C35," ",""))) * ISNUMBER(SEARCH({"0";"1";"2";"3";"4";"5";"6";"7";"8"},SUBSTITUTE(I35," ","")))))</f>
        <v>1</v>
      </c>
      <c r="S35">
        <f t="shared" si="9"/>
        <v>1</v>
      </c>
      <c r="T35" cm="1">
        <f t="array" ref="T35">SUMPRODUCT(--(ISNUMBER(SEARCH({"0";"1";"2";"3";"4";"5";"6";"7";"8"},SUBSTITUTE(C35," ",""))) * ISNUMBER(SEARCH({"0";"1";"2";"3";"4";"5";"6";"7";"8"},SUBSTITUTE(G35," ","")))))</f>
        <v>1</v>
      </c>
      <c r="U35">
        <f t="shared" si="6"/>
        <v>1</v>
      </c>
      <c r="V35" cm="1">
        <f t="array" ref="V35">SUMPRODUCT(--(ISNUMBER(SEARCH({"0";"1";"2";"3";"4";"5";"6";"7";"8"},SUBSTITUTE(K35," ",""))) * ISNUMBER(SEARCH({"0";"1";"2";"3";"4";"5";"6";"7";"8"},SUBSTITUTE(G35," ","")))))</f>
        <v>1</v>
      </c>
      <c r="W35">
        <f t="shared" si="10"/>
        <v>1</v>
      </c>
      <c r="X35" cm="1">
        <f t="array" ref="X35">SUMPRODUCT(--(ISNUMBER(SEARCH({"0";"1";"2";"3";"4";"5";"6";"7";"8"},SUBSTITUTE(K35," ",""))) * ISNUMBER(SEARCH({"0";"1";"2";"3";"4";"5";"6";"7";"8"},SUBSTITUTE(C35," ","")))))</f>
        <v>1</v>
      </c>
      <c r="Y35">
        <f t="shared" si="7"/>
        <v>1</v>
      </c>
      <c r="Z35" cm="1">
        <f t="array" ref="Z35">SUMPRODUCT(--(ISNUMBER(SEARCH({"0";"1";"2";"3";"4";"5";"6";"7";"8"},SUBSTITUTE(K35," ",""))) * ISNUMBER(SEARCH({"0";"1";"2";"3";"4";"5";"6";"7";"8"},SUBSTITUTE(I35," ","")))))</f>
        <v>1</v>
      </c>
    </row>
    <row r="36" spans="1:26" ht="34" x14ac:dyDescent="0.2">
      <c r="A36" t="s">
        <v>102</v>
      </c>
      <c r="B36" s="5" t="s">
        <v>103</v>
      </c>
      <c r="C36" s="8" t="s">
        <v>25</v>
      </c>
      <c r="D36">
        <v>0</v>
      </c>
      <c r="G36" s="8">
        <f>'Sara Mappings'!C36</f>
        <v>4</v>
      </c>
      <c r="H36" s="9" t="str">
        <f>IF('Sara Mappings'!D36=0,"",'Sara Mappings'!D36)</f>
        <v>Network Defense</v>
      </c>
      <c r="I36">
        <f>'Valtteri Mappings'!C36</f>
        <v>4</v>
      </c>
      <c r="J36" t="str">
        <f>IF('Valtteri Mappings'!D36=0,"",'Valtteri Mappings'!D36)</f>
        <v/>
      </c>
      <c r="K36">
        <f>'Paul Mappings'!C36</f>
        <v>4</v>
      </c>
      <c r="L36" t="str">
        <f>IF('Paul Mappings'!D36=0,"",'Paul Mappings'!D36)</f>
        <v/>
      </c>
      <c r="O36">
        <f t="shared" si="3"/>
        <v>1</v>
      </c>
      <c r="P36" cm="1">
        <f t="array" ref="P36">SUMPRODUCT(--(ISNUMBER(SEARCH({"0";"1";"2";"3";"4";"5";"6";"7";"8"},SUBSTITUTE(G36," ",""))) * ISNUMBER(SEARCH({"0";"1";"2";"3";"4";"5";"6";"7";"8"},SUBSTITUTE(I36," ","")))))</f>
        <v>1</v>
      </c>
      <c r="Q36">
        <f t="shared" si="8"/>
        <v>0</v>
      </c>
      <c r="R36" cm="1">
        <f t="array" ref="R36">SUMPRODUCT(--(ISNUMBER(SEARCH({"0";"1";"2";"3";"4";"5";"6";"7";"8"},SUBSTITUTE(C36," ",""))) * ISNUMBER(SEARCH({"0";"1";"2";"3";"4";"5";"6";"7";"8"},SUBSTITUTE(I36," ","")))))</f>
        <v>0</v>
      </c>
      <c r="S36">
        <f t="shared" si="9"/>
        <v>0</v>
      </c>
      <c r="T36" cm="1">
        <f t="array" ref="T36">SUMPRODUCT(--(ISNUMBER(SEARCH({"0";"1";"2";"3";"4";"5";"6";"7";"8"},SUBSTITUTE(C36," ",""))) * ISNUMBER(SEARCH({"0";"1";"2";"3";"4";"5";"6";"7";"8"},SUBSTITUTE(G36," ","")))))</f>
        <v>0</v>
      </c>
      <c r="U36">
        <f t="shared" si="6"/>
        <v>1</v>
      </c>
      <c r="V36" cm="1">
        <f t="array" ref="V36">SUMPRODUCT(--(ISNUMBER(SEARCH({"0";"1";"2";"3";"4";"5";"6";"7";"8"},SUBSTITUTE(K36," ",""))) * ISNUMBER(SEARCH({"0";"1";"2";"3";"4";"5";"6";"7";"8"},SUBSTITUTE(G36," ","")))))</f>
        <v>1</v>
      </c>
      <c r="W36">
        <f t="shared" si="10"/>
        <v>0</v>
      </c>
      <c r="X36" cm="1">
        <f t="array" ref="X36">SUMPRODUCT(--(ISNUMBER(SEARCH({"0";"1";"2";"3";"4";"5";"6";"7";"8"},SUBSTITUTE(K36," ",""))) * ISNUMBER(SEARCH({"0";"1";"2";"3";"4";"5";"6";"7";"8"},SUBSTITUTE(C36," ","")))))</f>
        <v>0</v>
      </c>
      <c r="Y36">
        <f t="shared" si="7"/>
        <v>1</v>
      </c>
      <c r="Z36" cm="1">
        <f t="array" ref="Z36">SUMPRODUCT(--(ISNUMBER(SEARCH({"0";"1";"2";"3";"4";"5";"6";"7";"8"},SUBSTITUTE(K36," ",""))) * ISNUMBER(SEARCH({"0";"1";"2";"3";"4";"5";"6";"7";"8"},SUBSTITUTE(I36," ","")))))</f>
        <v>1</v>
      </c>
    </row>
    <row r="37" spans="1:26" ht="34" x14ac:dyDescent="0.2">
      <c r="A37" t="s">
        <v>104</v>
      </c>
      <c r="B37" s="5" t="s">
        <v>105</v>
      </c>
      <c r="C37" s="8" t="s">
        <v>22</v>
      </c>
      <c r="D37">
        <v>1</v>
      </c>
      <c r="G37" s="8">
        <f>'Sara Mappings'!C37</f>
        <v>7</v>
      </c>
      <c r="H37" s="9" t="str">
        <f>IF('Sara Mappings'!D37=0,"",'Sara Mappings'!D37)</f>
        <v/>
      </c>
      <c r="I37">
        <f>'Valtteri Mappings'!C37</f>
        <v>7</v>
      </c>
      <c r="J37" t="str">
        <f>IF('Valtteri Mappings'!D37=0,"",'Valtteri Mappings'!D37)</f>
        <v/>
      </c>
      <c r="K37">
        <f>'Paul Mappings'!C37</f>
        <v>7</v>
      </c>
      <c r="L37" t="str">
        <f>IF('Paul Mappings'!D37=0,"",'Paul Mappings'!D37)</f>
        <v/>
      </c>
      <c r="O37">
        <f t="shared" si="3"/>
        <v>1</v>
      </c>
      <c r="P37" cm="1">
        <f t="array" ref="P37">SUMPRODUCT(--(ISNUMBER(SEARCH({"0";"1";"2";"3";"4";"5";"6";"7";"8"},SUBSTITUTE(G37," ",""))) * ISNUMBER(SEARCH({"0";"1";"2";"3";"4";"5";"6";"7";"8"},SUBSTITUTE(I37," ","")))))</f>
        <v>1</v>
      </c>
      <c r="Q37">
        <f t="shared" si="8"/>
        <v>1</v>
      </c>
      <c r="R37" cm="1">
        <f t="array" ref="R37">SUMPRODUCT(--(ISNUMBER(SEARCH({"0";"1";"2";"3";"4";"5";"6";"7";"8"},SUBSTITUTE(C37," ",""))) * ISNUMBER(SEARCH({"0";"1";"2";"3";"4";"5";"6";"7";"8"},SUBSTITUTE(I37," ","")))))</f>
        <v>1</v>
      </c>
      <c r="S37">
        <f t="shared" si="9"/>
        <v>1</v>
      </c>
      <c r="T37" cm="1">
        <f t="array" ref="T37">SUMPRODUCT(--(ISNUMBER(SEARCH({"0";"1";"2";"3";"4";"5";"6";"7";"8"},SUBSTITUTE(C37," ",""))) * ISNUMBER(SEARCH({"0";"1";"2";"3";"4";"5";"6";"7";"8"},SUBSTITUTE(G37," ","")))))</f>
        <v>1</v>
      </c>
      <c r="U37">
        <f t="shared" si="6"/>
        <v>1</v>
      </c>
      <c r="V37" cm="1">
        <f t="array" ref="V37">SUMPRODUCT(--(ISNUMBER(SEARCH({"0";"1";"2";"3";"4";"5";"6";"7";"8"},SUBSTITUTE(K37," ",""))) * ISNUMBER(SEARCH({"0";"1";"2";"3";"4";"5";"6";"7";"8"},SUBSTITUTE(G37," ","")))))</f>
        <v>1</v>
      </c>
      <c r="W37">
        <f t="shared" si="10"/>
        <v>1</v>
      </c>
      <c r="X37" cm="1">
        <f t="array" ref="X37">SUMPRODUCT(--(ISNUMBER(SEARCH({"0";"1";"2";"3";"4";"5";"6";"7";"8"},SUBSTITUTE(K37," ",""))) * ISNUMBER(SEARCH({"0";"1";"2";"3";"4";"5";"6";"7";"8"},SUBSTITUTE(C37," ","")))))</f>
        <v>1</v>
      </c>
      <c r="Y37">
        <f t="shared" si="7"/>
        <v>1</v>
      </c>
      <c r="Z37" cm="1">
        <f t="array" ref="Z37">SUMPRODUCT(--(ISNUMBER(SEARCH({"0";"1";"2";"3";"4";"5";"6";"7";"8"},SUBSTITUTE(K37," ",""))) * ISNUMBER(SEARCH({"0";"1";"2";"3";"4";"5";"6";"7";"8"},SUBSTITUTE(I37," ","")))))</f>
        <v>1</v>
      </c>
    </row>
    <row r="38" spans="1:26" ht="34" x14ac:dyDescent="0.2">
      <c r="A38" t="s">
        <v>106</v>
      </c>
      <c r="B38" s="5" t="s">
        <v>107</v>
      </c>
      <c r="C38" s="8" t="s">
        <v>108</v>
      </c>
      <c r="D38">
        <v>1</v>
      </c>
      <c r="G38" s="8">
        <f>'Sara Mappings'!C38</f>
        <v>4</v>
      </c>
      <c r="H38" s="9" t="str">
        <f>IF('Sara Mappings'!D38=0,"",'Sara Mappings'!D38)</f>
        <v>Network Defense</v>
      </c>
      <c r="I38">
        <f>'Valtteri Mappings'!C38</f>
        <v>4</v>
      </c>
      <c r="J38" t="str">
        <f>IF('Valtteri Mappings'!D38=0,"",'Valtteri Mappings'!D38)</f>
        <v/>
      </c>
      <c r="K38">
        <f>'Paul Mappings'!C38</f>
        <v>4</v>
      </c>
      <c r="L38" t="str">
        <f>IF('Paul Mappings'!D38=0,"",'Paul Mappings'!D38)</f>
        <v>network</v>
      </c>
      <c r="O38">
        <f t="shared" si="3"/>
        <v>1</v>
      </c>
      <c r="P38" cm="1">
        <f t="array" ref="P38">SUMPRODUCT(--(ISNUMBER(SEARCH({"0";"1";"2";"3";"4";"5";"6";"7";"8"},SUBSTITUTE(G38," ",""))) * ISNUMBER(SEARCH({"0";"1";"2";"3";"4";"5";"6";"7";"8"},SUBSTITUTE(I38," ","")))))</f>
        <v>1</v>
      </c>
      <c r="Q38">
        <f t="shared" si="8"/>
        <v>0</v>
      </c>
      <c r="R38" cm="1">
        <f t="array" ref="R38">SUMPRODUCT(--(ISNUMBER(SEARCH({"0";"1";"2";"3";"4";"5";"6";"7";"8"},SUBSTITUTE(C38," ",""))) * ISNUMBER(SEARCH({"0";"1";"2";"3";"4";"5";"6";"7";"8"},SUBSTITUTE(I38," ","")))))</f>
        <v>1</v>
      </c>
      <c r="S38">
        <f t="shared" si="9"/>
        <v>0</v>
      </c>
      <c r="T38" cm="1">
        <f t="array" ref="T38">SUMPRODUCT(--(ISNUMBER(SEARCH({"0";"1";"2";"3";"4";"5";"6";"7";"8"},SUBSTITUTE(C38," ",""))) * ISNUMBER(SEARCH({"0";"1";"2";"3";"4";"5";"6";"7";"8"},SUBSTITUTE(G38," ","")))))</f>
        <v>1</v>
      </c>
      <c r="U38">
        <f t="shared" si="6"/>
        <v>1</v>
      </c>
      <c r="V38" cm="1">
        <f t="array" ref="V38">SUMPRODUCT(--(ISNUMBER(SEARCH({"0";"1";"2";"3";"4";"5";"6";"7";"8"},SUBSTITUTE(K38," ",""))) * ISNUMBER(SEARCH({"0";"1";"2";"3";"4";"5";"6";"7";"8"},SUBSTITUTE(G38," ","")))))</f>
        <v>1</v>
      </c>
      <c r="W38">
        <f t="shared" si="10"/>
        <v>0</v>
      </c>
      <c r="X38" cm="1">
        <f t="array" ref="X38">SUMPRODUCT(--(ISNUMBER(SEARCH({"0";"1";"2";"3";"4";"5";"6";"7";"8"},SUBSTITUTE(K38," ",""))) * ISNUMBER(SEARCH({"0";"1";"2";"3";"4";"5";"6";"7";"8"},SUBSTITUTE(C38," ","")))))</f>
        <v>1</v>
      </c>
      <c r="Y38">
        <f t="shared" si="7"/>
        <v>1</v>
      </c>
      <c r="Z38" cm="1">
        <f t="array" ref="Z38">SUMPRODUCT(--(ISNUMBER(SEARCH({"0";"1";"2";"3";"4";"5";"6";"7";"8"},SUBSTITUTE(K38," ",""))) * ISNUMBER(SEARCH({"0";"1";"2";"3";"4";"5";"6";"7";"8"},SUBSTITUTE(I38," ","")))))</f>
        <v>1</v>
      </c>
    </row>
    <row r="39" spans="1:26" ht="51" x14ac:dyDescent="0.2">
      <c r="A39" t="s">
        <v>109</v>
      </c>
      <c r="B39" s="5" t="s">
        <v>110</v>
      </c>
      <c r="C39" s="8" t="s">
        <v>111</v>
      </c>
      <c r="D39">
        <v>0</v>
      </c>
      <c r="G39" s="8">
        <f>'Sara Mappings'!C39</f>
        <v>0</v>
      </c>
      <c r="H39" s="9" t="str">
        <f>IF('Sara Mappings'!D39=0,"",'Sara Mappings'!D39)</f>
        <v>Cyberspace Practice</v>
      </c>
      <c r="I39">
        <f>'Valtteri Mappings'!C39</f>
        <v>6</v>
      </c>
      <c r="J39" t="str">
        <f>IF('Valtteri Mappings'!D39=0,"",'Valtteri Mappings'!D39)</f>
        <v/>
      </c>
      <c r="K39">
        <f>'Paul Mappings'!C39</f>
        <v>6</v>
      </c>
      <c r="L39" t="str">
        <f>IF('Paul Mappings'!D39=0,"",'Paul Mappings'!D39)</f>
        <v/>
      </c>
      <c r="O39">
        <f t="shared" si="3"/>
        <v>0</v>
      </c>
      <c r="P39" cm="1">
        <f t="array" ref="P39">SUMPRODUCT(--(ISNUMBER(SEARCH({"0";"1";"2";"3";"4";"5";"6";"7";"8"},SUBSTITUTE(G39," ",""))) * ISNUMBER(SEARCH({"0";"1";"2";"3";"4";"5";"6";"7";"8"},SUBSTITUTE(I39," ","")))))</f>
        <v>0</v>
      </c>
      <c r="Q39">
        <f t="shared" si="8"/>
        <v>0</v>
      </c>
      <c r="R39" cm="1">
        <f t="array" ref="R39">SUMPRODUCT(--(ISNUMBER(SEARCH({"0";"1";"2";"3";"4";"5";"6";"7";"8"},SUBSTITUTE(C39," ",""))) * ISNUMBER(SEARCH({"0";"1";"2";"3";"4";"5";"6";"7";"8"},SUBSTITUTE(I39," ","")))))</f>
        <v>0</v>
      </c>
      <c r="S39">
        <f t="shared" si="9"/>
        <v>0</v>
      </c>
      <c r="T39" cm="1">
        <f t="array" ref="T39">SUMPRODUCT(--(ISNUMBER(SEARCH({"0";"1";"2";"3";"4";"5";"6";"7";"8"},SUBSTITUTE(C39," ",""))) * ISNUMBER(SEARCH({"0";"1";"2";"3";"4";"5";"6";"7";"8"},SUBSTITUTE(G39," ","")))))</f>
        <v>0</v>
      </c>
      <c r="U39">
        <f t="shared" si="6"/>
        <v>0</v>
      </c>
      <c r="V39" cm="1">
        <f t="array" ref="V39">SUMPRODUCT(--(ISNUMBER(SEARCH({"0";"1";"2";"3";"4";"5";"6";"7";"8"},SUBSTITUTE(K39," ",""))) * ISNUMBER(SEARCH({"0";"1";"2";"3";"4";"5";"6";"7";"8"},SUBSTITUTE(G39," ","")))))</f>
        <v>0</v>
      </c>
      <c r="W39">
        <f t="shared" si="10"/>
        <v>0</v>
      </c>
      <c r="X39" cm="1">
        <f t="array" ref="X39">SUMPRODUCT(--(ISNUMBER(SEARCH({"0";"1";"2";"3";"4";"5";"6";"7";"8"},SUBSTITUTE(K39," ",""))) * ISNUMBER(SEARCH({"0";"1";"2";"3";"4";"5";"6";"7";"8"},SUBSTITUTE(C39," ","")))))</f>
        <v>0</v>
      </c>
      <c r="Y39">
        <f t="shared" si="7"/>
        <v>1</v>
      </c>
      <c r="Z39" cm="1">
        <f t="array" ref="Z39">SUMPRODUCT(--(ISNUMBER(SEARCH({"0";"1";"2";"3";"4";"5";"6";"7";"8"},SUBSTITUTE(K39," ",""))) * ISNUMBER(SEARCH({"0";"1";"2";"3";"4";"5";"6";"7";"8"},SUBSTITUTE(I39," ","")))))</f>
        <v>1</v>
      </c>
    </row>
    <row r="40" spans="1:26" ht="34" x14ac:dyDescent="0.2">
      <c r="A40" t="s">
        <v>112</v>
      </c>
      <c r="B40" s="5" t="s">
        <v>113</v>
      </c>
      <c r="C40" s="8" t="s">
        <v>79</v>
      </c>
      <c r="D40">
        <v>0</v>
      </c>
      <c r="G40" s="8">
        <f>'Sara Mappings'!C40</f>
        <v>8</v>
      </c>
      <c r="H40" s="9" t="str">
        <f>IF('Sara Mappings'!D40=0,"",'Sara Mappings'!D40)</f>
        <v/>
      </c>
      <c r="I40">
        <f>'Valtteri Mappings'!C40</f>
        <v>6</v>
      </c>
      <c r="J40" t="str">
        <f>IF('Valtteri Mappings'!D40=0,"",'Valtteri Mappings'!D40)</f>
        <v/>
      </c>
      <c r="K40">
        <f>'Paul Mappings'!C40</f>
        <v>6.7</v>
      </c>
      <c r="L40" t="str">
        <f>IF('Paul Mappings'!D40=0,"",'Paul Mappings'!D40)</f>
        <v/>
      </c>
      <c r="O40">
        <f t="shared" si="3"/>
        <v>0</v>
      </c>
      <c r="P40" cm="1">
        <f t="array" ref="P40">SUMPRODUCT(--(ISNUMBER(SEARCH({"0";"1";"2";"3";"4";"5";"6";"7";"8"},SUBSTITUTE(G40," ",""))) * ISNUMBER(SEARCH({"0";"1";"2";"3";"4";"5";"6";"7";"8"},SUBSTITUTE(I40," ","")))))</f>
        <v>0</v>
      </c>
      <c r="Q40">
        <f t="shared" si="8"/>
        <v>0</v>
      </c>
      <c r="R40" cm="1">
        <f t="array" ref="R40">SUMPRODUCT(--(ISNUMBER(SEARCH({"0";"1";"2";"3";"4";"5";"6";"7";"8"},SUBSTITUTE(C40," ",""))) * ISNUMBER(SEARCH({"0";"1";"2";"3";"4";"5";"6";"7";"8"},SUBSTITUTE(I40," ","")))))</f>
        <v>0</v>
      </c>
      <c r="S40">
        <f t="shared" si="9"/>
        <v>0</v>
      </c>
      <c r="T40" cm="1">
        <f t="array" ref="T40">SUMPRODUCT(--(ISNUMBER(SEARCH({"0";"1";"2";"3";"4";"5";"6";"7";"8"},SUBSTITUTE(C40," ",""))) * ISNUMBER(SEARCH({"0";"1";"2";"3";"4";"5";"6";"7";"8"},SUBSTITUTE(G40," ","")))))</f>
        <v>1</v>
      </c>
      <c r="U40">
        <f t="shared" si="6"/>
        <v>0</v>
      </c>
      <c r="V40" cm="1">
        <f t="array" ref="V40">SUMPRODUCT(--(ISNUMBER(SEARCH({"0";"1";"2";"3";"4";"5";"6";"7";"8"},SUBSTITUTE(K40," ",""))) * ISNUMBER(SEARCH({"0";"1";"2";"3";"4";"5";"6";"7";"8"},SUBSTITUTE(G40," ","")))))</f>
        <v>0</v>
      </c>
      <c r="W40">
        <f t="shared" si="10"/>
        <v>0</v>
      </c>
      <c r="X40" cm="1">
        <f t="array" ref="X40">SUMPRODUCT(--(ISNUMBER(SEARCH({"0";"1";"2";"3";"4";"5";"6";"7";"8"},SUBSTITUTE(K40," ",""))) * ISNUMBER(SEARCH({"0";"1";"2";"3";"4";"5";"6";"7";"8"},SUBSTITUTE(C40," ","")))))</f>
        <v>1</v>
      </c>
      <c r="Y40">
        <f t="shared" si="7"/>
        <v>0</v>
      </c>
      <c r="Z40" cm="1">
        <f t="array" ref="Z40">SUMPRODUCT(--(ISNUMBER(SEARCH({"0";"1";"2";"3";"4";"5";"6";"7";"8"},SUBSTITUTE(K40," ",""))) * ISNUMBER(SEARCH({"0";"1";"2";"3";"4";"5";"6";"7";"8"},SUBSTITUTE(I40," ","")))))</f>
        <v>1</v>
      </c>
    </row>
    <row r="41" spans="1:26" ht="34" x14ac:dyDescent="0.2">
      <c r="A41" t="s">
        <v>114</v>
      </c>
      <c r="B41" s="5" t="s">
        <v>115</v>
      </c>
      <c r="C41" s="8" t="s">
        <v>116</v>
      </c>
      <c r="D41">
        <v>0</v>
      </c>
      <c r="G41" s="8">
        <f>'Sara Mappings'!C41</f>
        <v>6</v>
      </c>
      <c r="H41" s="9" t="str">
        <f>IF('Sara Mappings'!D41=0,"",'Sara Mappings'!D41)</f>
        <v/>
      </c>
      <c r="I41">
        <f>'Valtteri Mappings'!C41</f>
        <v>3</v>
      </c>
      <c r="J41" t="str">
        <f>IF('Valtteri Mappings'!D41=0,"",'Valtteri Mappings'!D41)</f>
        <v/>
      </c>
      <c r="K41">
        <f>'Paul Mappings'!C41</f>
        <v>3</v>
      </c>
      <c r="L41" t="str">
        <f>IF('Paul Mappings'!D41=0,"",'Paul Mappings'!D41)</f>
        <v/>
      </c>
      <c r="O41">
        <f t="shared" si="3"/>
        <v>0</v>
      </c>
      <c r="P41" cm="1">
        <f t="array" ref="P41">SUMPRODUCT(--(ISNUMBER(SEARCH({"0";"1";"2";"3";"4";"5";"6";"7";"8"},SUBSTITUTE(G41," ",""))) * ISNUMBER(SEARCH({"0";"1";"2";"3";"4";"5";"6";"7";"8"},SUBSTITUTE(I41," ","")))))</f>
        <v>0</v>
      </c>
      <c r="Q41">
        <f t="shared" si="8"/>
        <v>0</v>
      </c>
      <c r="R41" cm="1">
        <f t="array" ref="R41">SUMPRODUCT(--(ISNUMBER(SEARCH({"0";"1";"2";"3";"4";"5";"6";"7";"8"},SUBSTITUTE(C41," ",""))) * ISNUMBER(SEARCH({"0";"1";"2";"3";"4";"5";"6";"7";"8"},SUBSTITUTE(I41," ","")))))</f>
        <v>0</v>
      </c>
      <c r="S41">
        <f t="shared" si="9"/>
        <v>0</v>
      </c>
      <c r="T41" cm="1">
        <f t="array" ref="T41">SUMPRODUCT(--(ISNUMBER(SEARCH({"0";"1";"2";"3";"4";"5";"6";"7";"8"},SUBSTITUTE(C41," ",""))) * ISNUMBER(SEARCH({"0";"1";"2";"3";"4";"5";"6";"7";"8"},SUBSTITUTE(G41," ","")))))</f>
        <v>0</v>
      </c>
      <c r="U41">
        <f t="shared" si="6"/>
        <v>0</v>
      </c>
      <c r="V41" cm="1">
        <f t="array" ref="V41">SUMPRODUCT(--(ISNUMBER(SEARCH({"0";"1";"2";"3";"4";"5";"6";"7";"8"},SUBSTITUTE(K41," ",""))) * ISNUMBER(SEARCH({"0";"1";"2";"3";"4";"5";"6";"7";"8"},SUBSTITUTE(G41," ","")))))</f>
        <v>0</v>
      </c>
      <c r="W41">
        <f t="shared" si="10"/>
        <v>0</v>
      </c>
      <c r="X41" cm="1">
        <f t="array" ref="X41">SUMPRODUCT(--(ISNUMBER(SEARCH({"0";"1";"2";"3";"4";"5";"6";"7";"8"},SUBSTITUTE(K41," ",""))) * ISNUMBER(SEARCH({"0";"1";"2";"3";"4";"5";"6";"7";"8"},SUBSTITUTE(C41," ","")))))</f>
        <v>0</v>
      </c>
      <c r="Y41">
        <f t="shared" si="7"/>
        <v>1</v>
      </c>
      <c r="Z41" cm="1">
        <f t="array" ref="Z41">SUMPRODUCT(--(ISNUMBER(SEARCH({"0";"1";"2";"3";"4";"5";"6";"7";"8"},SUBSTITUTE(K41," ",""))) * ISNUMBER(SEARCH({"0";"1";"2";"3";"4";"5";"6";"7";"8"},SUBSTITUTE(I41," ","")))))</f>
        <v>1</v>
      </c>
    </row>
    <row r="42" spans="1:26" ht="34" x14ac:dyDescent="0.2">
      <c r="A42" t="s">
        <v>117</v>
      </c>
      <c r="B42" s="5" t="s">
        <v>118</v>
      </c>
      <c r="C42" s="8" t="s">
        <v>119</v>
      </c>
      <c r="D42">
        <v>1</v>
      </c>
      <c r="G42" s="8">
        <f>'Sara Mappings'!C42</f>
        <v>5</v>
      </c>
      <c r="H42" s="9" t="str">
        <f>IF('Sara Mappings'!D42=0,"",'Sara Mappings'!D42)</f>
        <v>System Management</v>
      </c>
      <c r="I42">
        <f>'Valtteri Mappings'!C42</f>
        <v>0</v>
      </c>
      <c r="J42" t="str">
        <f>IF('Valtteri Mappings'!D42=0,"",'Valtteri Mappings'!D42)</f>
        <v/>
      </c>
      <c r="K42" t="str">
        <f>'Paul Mappings'!C42</f>
        <v>3,2,5</v>
      </c>
      <c r="L42" t="str">
        <f>IF('Paul Mappings'!D42=0,"",'Paul Mappings'!D42)</f>
        <v/>
      </c>
      <c r="O42">
        <f t="shared" si="3"/>
        <v>0</v>
      </c>
      <c r="P42" cm="1">
        <f t="array" ref="P42">SUMPRODUCT(--(ISNUMBER(SEARCH({"0";"1";"2";"3";"4";"5";"6";"7";"8"},SUBSTITUTE(G42," ",""))) * ISNUMBER(SEARCH({"0";"1";"2";"3";"4";"5";"6";"7";"8"},SUBSTITUTE(I42," ","")))))</f>
        <v>0</v>
      </c>
      <c r="Q42">
        <f t="shared" si="8"/>
        <v>0</v>
      </c>
      <c r="R42" cm="1">
        <f t="array" ref="R42">SUMPRODUCT(--(ISNUMBER(SEARCH({"0";"1";"2";"3";"4";"5";"6";"7";"8"},SUBSTITUTE(C42," ",""))) * ISNUMBER(SEARCH({"0";"1";"2";"3";"4";"5";"6";"7";"8"},SUBSTITUTE(I42," ","")))))</f>
        <v>1</v>
      </c>
      <c r="S42">
        <f t="shared" si="9"/>
        <v>0</v>
      </c>
      <c r="T42" cm="1">
        <f t="array" ref="T42">SUMPRODUCT(--(ISNUMBER(SEARCH({"0";"1";"2";"3";"4";"5";"6";"7";"8"},SUBSTITUTE(C42," ",""))) * ISNUMBER(SEARCH({"0";"1";"2";"3";"4";"5";"6";"7";"8"},SUBSTITUTE(G42," ","")))))</f>
        <v>1</v>
      </c>
      <c r="U42">
        <f t="shared" si="6"/>
        <v>0</v>
      </c>
      <c r="V42" cm="1">
        <f t="array" ref="V42">SUMPRODUCT(--(ISNUMBER(SEARCH({"0";"1";"2";"3";"4";"5";"6";"7";"8"},SUBSTITUTE(K42," ",""))) * ISNUMBER(SEARCH({"0";"1";"2";"3";"4";"5";"6";"7";"8"},SUBSTITUTE(G42," ","")))))</f>
        <v>1</v>
      </c>
      <c r="W42">
        <f t="shared" si="10"/>
        <v>0</v>
      </c>
      <c r="X42" cm="1">
        <f t="array" ref="X42">SUMPRODUCT(--(ISNUMBER(SEARCH({"0";"1";"2";"3";"4";"5";"6";"7";"8"},SUBSTITUTE(K42," ",""))) * ISNUMBER(SEARCH({"0";"1";"2";"3";"4";"5";"6";"7";"8"},SUBSTITUTE(C42," ","")))))</f>
        <v>2</v>
      </c>
      <c r="Y42">
        <f t="shared" si="7"/>
        <v>0</v>
      </c>
      <c r="Z42" cm="1">
        <f t="array" ref="Z42">SUMPRODUCT(--(ISNUMBER(SEARCH({"0";"1";"2";"3";"4";"5";"6";"7";"8"},SUBSTITUTE(K42," ",""))) * ISNUMBER(SEARCH({"0";"1";"2";"3";"4";"5";"6";"7";"8"},SUBSTITUTE(I42," ","")))))</f>
        <v>0</v>
      </c>
    </row>
    <row r="43" spans="1:26" ht="17" x14ac:dyDescent="0.2">
      <c r="A43" t="s">
        <v>120</v>
      </c>
      <c r="B43" s="5" t="s">
        <v>121</v>
      </c>
      <c r="C43" s="8" t="s">
        <v>49</v>
      </c>
      <c r="D43">
        <v>1</v>
      </c>
      <c r="G43" s="8">
        <f>'Sara Mappings'!C43</f>
        <v>2</v>
      </c>
      <c r="H43" s="9" t="str">
        <f>IF('Sara Mappings'!D43=0,"",'Sara Mappings'!D43)</f>
        <v/>
      </c>
      <c r="I43">
        <f>'Valtteri Mappings'!C43</f>
        <v>0</v>
      </c>
      <c r="J43" t="str">
        <f>IF('Valtteri Mappings'!D43=0,"",'Valtteri Mappings'!D43)</f>
        <v/>
      </c>
      <c r="K43" t="str">
        <f>'Paul Mappings'!C43</f>
        <v>2,5,0</v>
      </c>
      <c r="L43" t="str">
        <f>IF('Paul Mappings'!D43=0,"",'Paul Mappings'!D43)</f>
        <v>not sure here, maybe better just 0, but I was thinking skills and operating system knowledge</v>
      </c>
      <c r="O43">
        <f t="shared" si="3"/>
        <v>0</v>
      </c>
      <c r="P43" cm="1">
        <f t="array" ref="P43">SUMPRODUCT(--(ISNUMBER(SEARCH({"0";"1";"2";"3";"4";"5";"6";"7";"8"},SUBSTITUTE(G43," ",""))) * ISNUMBER(SEARCH({"0";"1";"2";"3";"4";"5";"6";"7";"8"},SUBSTITUTE(I43," ","")))))</f>
        <v>0</v>
      </c>
      <c r="Q43">
        <f t="shared" si="8"/>
        <v>0</v>
      </c>
      <c r="R43" cm="1">
        <f t="array" ref="R43">SUMPRODUCT(--(ISNUMBER(SEARCH({"0";"1";"2";"3";"4";"5";"6";"7";"8"},SUBSTITUTE(C43," ",""))) * ISNUMBER(SEARCH({"0";"1";"2";"3";"4";"5";"6";"7";"8"},SUBSTITUTE(I43," ","")))))</f>
        <v>1</v>
      </c>
      <c r="S43">
        <f t="shared" si="9"/>
        <v>0</v>
      </c>
      <c r="T43" cm="1">
        <f t="array" ref="T43">SUMPRODUCT(--(ISNUMBER(SEARCH({"0";"1";"2";"3";"4";"5";"6";"7";"8"},SUBSTITUTE(C43," ",""))) * ISNUMBER(SEARCH({"0";"1";"2";"3";"4";"5";"6";"7";"8"},SUBSTITUTE(G43," ","")))))</f>
        <v>1</v>
      </c>
      <c r="U43">
        <f t="shared" si="6"/>
        <v>0</v>
      </c>
      <c r="V43" cm="1">
        <f t="array" ref="V43">SUMPRODUCT(--(ISNUMBER(SEARCH({"0";"1";"2";"3";"4";"5";"6";"7";"8"},SUBSTITUTE(K43," ",""))) * ISNUMBER(SEARCH({"0";"1";"2";"3";"4";"5";"6";"7";"8"},SUBSTITUTE(G43," ","")))))</f>
        <v>1</v>
      </c>
      <c r="W43">
        <f t="shared" si="10"/>
        <v>0</v>
      </c>
      <c r="X43" cm="1">
        <f t="array" ref="X43">SUMPRODUCT(--(ISNUMBER(SEARCH({"0";"1";"2";"3";"4";"5";"6";"7";"8"},SUBSTITUTE(K43," ",""))) * ISNUMBER(SEARCH({"0";"1";"2";"3";"4";"5";"6";"7";"8"},SUBSTITUTE(C43," ","")))))</f>
        <v>2</v>
      </c>
      <c r="Y43">
        <f t="shared" si="7"/>
        <v>0</v>
      </c>
      <c r="Z43" cm="1">
        <f t="array" ref="Z43">SUMPRODUCT(--(ISNUMBER(SEARCH({"0";"1";"2";"3";"4";"5";"6";"7";"8"},SUBSTITUTE(K43," ",""))) * ISNUMBER(SEARCH({"0";"1";"2";"3";"4";"5";"6";"7";"8"},SUBSTITUTE(I43," ","")))))</f>
        <v>1</v>
      </c>
    </row>
    <row r="44" spans="1:26" ht="34" x14ac:dyDescent="0.2">
      <c r="A44" t="s">
        <v>122</v>
      </c>
      <c r="B44" s="5" t="s">
        <v>123</v>
      </c>
      <c r="C44" s="8" t="s">
        <v>124</v>
      </c>
      <c r="D44">
        <v>1</v>
      </c>
      <c r="G44" s="8">
        <f>'Sara Mappings'!C44</f>
        <v>0</v>
      </c>
      <c r="H44" s="9" t="str">
        <f>IF('Sara Mappings'!D44=0,"",'Sara Mappings'!D44)</f>
        <v>Cyberspace Practice</v>
      </c>
      <c r="I44">
        <f>'Valtteri Mappings'!C44</f>
        <v>5</v>
      </c>
      <c r="J44" t="str">
        <f>IF('Valtteri Mappings'!D44=0,"",'Valtteri Mappings'!D44)</f>
        <v/>
      </c>
      <c r="K44" t="str">
        <f>'Paul Mappings'!C44</f>
        <v>3,4,5</v>
      </c>
      <c r="L44" t="str">
        <f>IF('Paul Mappings'!D44=0,"",'Paul Mappings'!D44)</f>
        <v/>
      </c>
      <c r="O44">
        <f t="shared" si="3"/>
        <v>0</v>
      </c>
      <c r="P44" cm="1">
        <f t="array" ref="P44">SUMPRODUCT(--(ISNUMBER(SEARCH({"0";"1";"2";"3";"4";"5";"6";"7";"8"},SUBSTITUTE(G44," ",""))) * ISNUMBER(SEARCH({"0";"1";"2";"3";"4";"5";"6";"7";"8"},SUBSTITUTE(I44," ","")))))</f>
        <v>0</v>
      </c>
      <c r="Q44">
        <f t="shared" si="8"/>
        <v>0</v>
      </c>
      <c r="R44" cm="1">
        <f t="array" ref="R44">SUMPRODUCT(--(ISNUMBER(SEARCH({"0";"1";"2";"3";"4";"5";"6";"7";"8"},SUBSTITUTE(C44," ",""))) * ISNUMBER(SEARCH({"0";"1";"2";"3";"4";"5";"6";"7";"8"},SUBSTITUTE(I44," ","")))))</f>
        <v>1</v>
      </c>
      <c r="S44">
        <f t="shared" si="9"/>
        <v>0</v>
      </c>
      <c r="T44" cm="1">
        <f t="array" ref="T44">SUMPRODUCT(--(ISNUMBER(SEARCH({"0";"1";"2";"3";"4";"5";"6";"7";"8"},SUBSTITUTE(C44," ",""))) * ISNUMBER(SEARCH({"0";"1";"2";"3";"4";"5";"6";"7";"8"},SUBSTITUTE(G44," ","")))))</f>
        <v>0</v>
      </c>
      <c r="U44">
        <f t="shared" si="6"/>
        <v>0</v>
      </c>
      <c r="V44" cm="1">
        <f t="array" ref="V44">SUMPRODUCT(--(ISNUMBER(SEARCH({"0";"1";"2";"3";"4";"5";"6";"7";"8"},SUBSTITUTE(K44," ",""))) * ISNUMBER(SEARCH({"0";"1";"2";"3";"4";"5";"6";"7";"8"},SUBSTITUTE(G44," ","")))))</f>
        <v>0</v>
      </c>
      <c r="W44">
        <f t="shared" si="10"/>
        <v>0</v>
      </c>
      <c r="X44" cm="1">
        <f t="array" ref="X44">SUMPRODUCT(--(ISNUMBER(SEARCH({"0";"1";"2";"3";"4";"5";"6";"7";"8"},SUBSTITUTE(K44," ",""))) * ISNUMBER(SEARCH({"0";"1";"2";"3";"4";"5";"6";"7";"8"},SUBSTITUTE(C44," ","")))))</f>
        <v>1</v>
      </c>
      <c r="Y44">
        <f t="shared" si="7"/>
        <v>0</v>
      </c>
      <c r="Z44" cm="1">
        <f t="array" ref="Z44">SUMPRODUCT(--(ISNUMBER(SEARCH({"0";"1";"2";"3";"4";"5";"6";"7";"8"},SUBSTITUTE(K44," ",""))) * ISNUMBER(SEARCH({"0";"1";"2";"3";"4";"5";"6";"7";"8"},SUBSTITUTE(I44," ","")))))</f>
        <v>1</v>
      </c>
    </row>
    <row r="45" spans="1:26" ht="34" x14ac:dyDescent="0.2">
      <c r="A45" t="s">
        <v>125</v>
      </c>
      <c r="B45" s="5" t="s">
        <v>126</v>
      </c>
      <c r="C45" s="8" t="s">
        <v>22</v>
      </c>
      <c r="D45">
        <v>0</v>
      </c>
      <c r="G45" s="8">
        <f>'Sara Mappings'!C45</f>
        <v>0</v>
      </c>
      <c r="H45" s="9" t="str">
        <f>IF('Sara Mappings'!D45=0,"",'Sara Mappings'!D45)</f>
        <v>Business and Law</v>
      </c>
      <c r="I45">
        <f>'Valtteri Mappings'!C45</f>
        <v>0</v>
      </c>
      <c r="J45" t="str">
        <f>IF('Valtteri Mappings'!D45=0,"",'Valtteri Mappings'!D45)</f>
        <v/>
      </c>
      <c r="K45">
        <f>'Paul Mappings'!C45</f>
        <v>0</v>
      </c>
      <c r="L45" t="str">
        <f>IF('Paul Mappings'!D45=0,"",'Paul Mappings'!D45)</f>
        <v>Transferring sensitive data to an external system? 6,5?</v>
      </c>
      <c r="O45">
        <f t="shared" si="3"/>
        <v>1</v>
      </c>
      <c r="P45" cm="1">
        <f t="array" ref="P45">SUMPRODUCT(--(ISNUMBER(SEARCH({"0";"1";"2";"3";"4";"5";"6";"7";"8"},SUBSTITUTE(G45," ",""))) * ISNUMBER(SEARCH({"0";"1";"2";"3";"4";"5";"6";"7";"8"},SUBSTITUTE(I45," ","")))))</f>
        <v>1</v>
      </c>
      <c r="Q45">
        <f t="shared" si="8"/>
        <v>0</v>
      </c>
      <c r="R45" cm="1">
        <f t="array" ref="R45">SUMPRODUCT(--(ISNUMBER(SEARCH({"0";"1";"2";"3";"4";"5";"6";"7";"8"},SUBSTITUTE(C45," ",""))) * ISNUMBER(SEARCH({"0";"1";"2";"3";"4";"5";"6";"7";"8"},SUBSTITUTE(I45," ","")))))</f>
        <v>0</v>
      </c>
      <c r="S45">
        <f t="shared" si="9"/>
        <v>0</v>
      </c>
      <c r="T45" cm="1">
        <f t="array" ref="T45">SUMPRODUCT(--(ISNUMBER(SEARCH({"0";"1";"2";"3";"4";"5";"6";"7";"8"},SUBSTITUTE(C45," ",""))) * ISNUMBER(SEARCH({"0";"1";"2";"3";"4";"5";"6";"7";"8"},SUBSTITUTE(G45," ","")))))</f>
        <v>0</v>
      </c>
      <c r="U45">
        <f t="shared" si="6"/>
        <v>1</v>
      </c>
      <c r="V45" cm="1">
        <f t="array" ref="V45">SUMPRODUCT(--(ISNUMBER(SEARCH({"0";"1";"2";"3";"4";"5";"6";"7";"8"},SUBSTITUTE(K45," ",""))) * ISNUMBER(SEARCH({"0";"1";"2";"3";"4";"5";"6";"7";"8"},SUBSTITUTE(G45," ","")))))</f>
        <v>1</v>
      </c>
      <c r="W45">
        <f t="shared" si="10"/>
        <v>0</v>
      </c>
      <c r="X45" cm="1">
        <f t="array" ref="X45">SUMPRODUCT(--(ISNUMBER(SEARCH({"0";"1";"2";"3";"4";"5";"6";"7";"8"},SUBSTITUTE(K45," ",""))) * ISNUMBER(SEARCH({"0";"1";"2";"3";"4";"5";"6";"7";"8"},SUBSTITUTE(C45," ","")))))</f>
        <v>0</v>
      </c>
      <c r="Y45">
        <f t="shared" si="7"/>
        <v>1</v>
      </c>
      <c r="Z45" cm="1">
        <f t="array" ref="Z45">SUMPRODUCT(--(ISNUMBER(SEARCH({"0";"1";"2";"3";"4";"5";"6";"7";"8"},SUBSTITUTE(K45," ",""))) * ISNUMBER(SEARCH({"0";"1";"2";"3";"4";"5";"6";"7";"8"},SUBSTITUTE(I45," ","")))))</f>
        <v>1</v>
      </c>
    </row>
    <row r="46" spans="1:26" ht="34" x14ac:dyDescent="0.2">
      <c r="A46" t="s">
        <v>127</v>
      </c>
      <c r="B46" s="5" t="s">
        <v>128</v>
      </c>
      <c r="C46" s="8" t="s">
        <v>22</v>
      </c>
      <c r="D46">
        <v>1</v>
      </c>
      <c r="G46" s="8">
        <f>'Sara Mappings'!C46</f>
        <v>0</v>
      </c>
      <c r="H46" s="9" t="str">
        <f>IF('Sara Mappings'!D46=0,"",'Sara Mappings'!D46)</f>
        <v>Cyberspace Practice</v>
      </c>
      <c r="I46">
        <f>'Valtteri Mappings'!C46</f>
        <v>7</v>
      </c>
      <c r="J46" t="str">
        <f>IF('Valtteri Mappings'!D46=0,"",'Valtteri Mappings'!D46)</f>
        <v/>
      </c>
      <c r="K46">
        <f>'Paul Mappings'!C46</f>
        <v>7</v>
      </c>
      <c r="L46" t="str">
        <f>IF('Paul Mappings'!D46=0,"",'Paul Mappings'!D46)</f>
        <v>asset management = risk management</v>
      </c>
      <c r="O46">
        <f t="shared" si="3"/>
        <v>0</v>
      </c>
      <c r="P46" cm="1">
        <f t="array" ref="P46">SUMPRODUCT(--(ISNUMBER(SEARCH({"0";"1";"2";"3";"4";"5";"6";"7";"8"},SUBSTITUTE(G46," ",""))) * ISNUMBER(SEARCH({"0";"1";"2";"3";"4";"5";"6";"7";"8"},SUBSTITUTE(I46," ","")))))</f>
        <v>0</v>
      </c>
      <c r="Q46">
        <f t="shared" si="8"/>
        <v>1</v>
      </c>
      <c r="R46" cm="1">
        <f t="array" ref="R46">SUMPRODUCT(--(ISNUMBER(SEARCH({"0";"1";"2";"3";"4";"5";"6";"7";"8"},SUBSTITUTE(C46," ",""))) * ISNUMBER(SEARCH({"0";"1";"2";"3";"4";"5";"6";"7";"8"},SUBSTITUTE(I46," ","")))))</f>
        <v>1</v>
      </c>
      <c r="S46">
        <f t="shared" si="9"/>
        <v>0</v>
      </c>
      <c r="T46" cm="1">
        <f t="array" ref="T46">SUMPRODUCT(--(ISNUMBER(SEARCH({"0";"1";"2";"3";"4";"5";"6";"7";"8"},SUBSTITUTE(C46," ",""))) * ISNUMBER(SEARCH({"0";"1";"2";"3";"4";"5";"6";"7";"8"},SUBSTITUTE(G46," ","")))))</f>
        <v>0</v>
      </c>
      <c r="U46">
        <f t="shared" si="6"/>
        <v>0</v>
      </c>
      <c r="V46" cm="1">
        <f t="array" ref="V46">SUMPRODUCT(--(ISNUMBER(SEARCH({"0";"1";"2";"3";"4";"5";"6";"7";"8"},SUBSTITUTE(K46," ",""))) * ISNUMBER(SEARCH({"0";"1";"2";"3";"4";"5";"6";"7";"8"},SUBSTITUTE(G46," ","")))))</f>
        <v>0</v>
      </c>
      <c r="W46">
        <f t="shared" si="10"/>
        <v>1</v>
      </c>
      <c r="X46" cm="1">
        <f t="array" ref="X46">SUMPRODUCT(--(ISNUMBER(SEARCH({"0";"1";"2";"3";"4";"5";"6";"7";"8"},SUBSTITUTE(K46," ",""))) * ISNUMBER(SEARCH({"0";"1";"2";"3";"4";"5";"6";"7";"8"},SUBSTITUTE(C46," ","")))))</f>
        <v>1</v>
      </c>
      <c r="Y46">
        <f t="shared" si="7"/>
        <v>1</v>
      </c>
      <c r="Z46" cm="1">
        <f t="array" ref="Z46">SUMPRODUCT(--(ISNUMBER(SEARCH({"0";"1";"2";"3";"4";"5";"6";"7";"8"},SUBSTITUTE(K46," ",""))) * ISNUMBER(SEARCH({"0";"1";"2";"3";"4";"5";"6";"7";"8"},SUBSTITUTE(I46," ","")))))</f>
        <v>1</v>
      </c>
    </row>
    <row r="47" spans="1:26" ht="34" x14ac:dyDescent="0.2">
      <c r="A47" t="s">
        <v>129</v>
      </c>
      <c r="B47" s="5" t="s">
        <v>130</v>
      </c>
      <c r="C47" s="8" t="s">
        <v>131</v>
      </c>
      <c r="D47">
        <v>1</v>
      </c>
      <c r="G47" s="8">
        <f>'Sara Mappings'!C47</f>
        <v>7</v>
      </c>
      <c r="H47" s="9" t="str">
        <f>IF('Sara Mappings'!D47=0,"",'Sara Mappings'!D47)</f>
        <v>Analytical Tools</v>
      </c>
      <c r="I47">
        <f>'Valtteri Mappings'!C47</f>
        <v>5</v>
      </c>
      <c r="J47" t="str">
        <f>IF('Valtteri Mappings'!D47=0,"",'Valtteri Mappings'!D47)</f>
        <v/>
      </c>
      <c r="K47">
        <f>'Paul Mappings'!C47</f>
        <v>7</v>
      </c>
      <c r="L47" t="str">
        <f>IF('Paul Mappings'!D47=0,"",'Paul Mappings'!D47)</f>
        <v>0 Intelligence?</v>
      </c>
      <c r="O47">
        <f t="shared" si="3"/>
        <v>0</v>
      </c>
      <c r="P47" cm="1">
        <f t="array" ref="P47">SUMPRODUCT(--(ISNUMBER(SEARCH({"0";"1";"2";"3";"4";"5";"6";"7";"8"},SUBSTITUTE(G47," ",""))) * ISNUMBER(SEARCH({"0";"1";"2";"3";"4";"5";"6";"7";"8"},SUBSTITUTE(I47," ","")))))</f>
        <v>0</v>
      </c>
      <c r="Q47">
        <f t="shared" si="8"/>
        <v>0</v>
      </c>
      <c r="R47" cm="1">
        <f t="array" ref="R47">SUMPRODUCT(--(ISNUMBER(SEARCH({"0";"1";"2";"3";"4";"5";"6";"7";"8"},SUBSTITUTE(C47," ",""))) * ISNUMBER(SEARCH({"0";"1";"2";"3";"4";"5";"6";"7";"8"},SUBSTITUTE(I47," ","")))))</f>
        <v>0</v>
      </c>
      <c r="S47">
        <f t="shared" si="9"/>
        <v>0</v>
      </c>
      <c r="T47" cm="1">
        <f t="array" ref="T47">SUMPRODUCT(--(ISNUMBER(SEARCH({"0";"1";"2";"3";"4";"5";"6";"7";"8"},SUBSTITUTE(C47," ",""))) * ISNUMBER(SEARCH({"0";"1";"2";"3";"4";"5";"6";"7";"8"},SUBSTITUTE(G47," ","")))))</f>
        <v>1</v>
      </c>
      <c r="U47">
        <f t="shared" si="6"/>
        <v>1</v>
      </c>
      <c r="V47" cm="1">
        <f t="array" ref="V47">SUMPRODUCT(--(ISNUMBER(SEARCH({"0";"1";"2";"3";"4";"5";"6";"7";"8"},SUBSTITUTE(K47," ",""))) * ISNUMBER(SEARCH({"0";"1";"2";"3";"4";"5";"6";"7";"8"},SUBSTITUTE(G47," ","")))))</f>
        <v>1</v>
      </c>
      <c r="W47">
        <f t="shared" si="10"/>
        <v>0</v>
      </c>
      <c r="X47" cm="1">
        <f t="array" ref="X47">SUMPRODUCT(--(ISNUMBER(SEARCH({"0";"1";"2";"3";"4";"5";"6";"7";"8"},SUBSTITUTE(K47," ",""))) * ISNUMBER(SEARCH({"0";"1";"2";"3";"4";"5";"6";"7";"8"},SUBSTITUTE(C47," ","")))))</f>
        <v>1</v>
      </c>
      <c r="Y47">
        <f t="shared" si="7"/>
        <v>0</v>
      </c>
      <c r="Z47" cm="1">
        <f t="array" ref="Z47">SUMPRODUCT(--(ISNUMBER(SEARCH({"0";"1";"2";"3";"4";"5";"6";"7";"8"},SUBSTITUTE(K47," ",""))) * ISNUMBER(SEARCH({"0";"1";"2";"3";"4";"5";"6";"7";"8"},SUBSTITUTE(I47," ","")))))</f>
        <v>0</v>
      </c>
    </row>
    <row r="48" spans="1:26" ht="34" x14ac:dyDescent="0.2">
      <c r="A48" t="s">
        <v>132</v>
      </c>
      <c r="B48" s="5" t="s">
        <v>133</v>
      </c>
      <c r="C48" s="8" t="s">
        <v>35</v>
      </c>
      <c r="D48">
        <v>1</v>
      </c>
      <c r="G48" s="8">
        <f>'Sara Mappings'!C48</f>
        <v>5</v>
      </c>
      <c r="H48" s="9" t="str">
        <f>IF('Sara Mappings'!D48=0,"",'Sara Mappings'!D48)</f>
        <v>System Management</v>
      </c>
      <c r="I48">
        <f>'Valtteri Mappings'!C48</f>
        <v>5</v>
      </c>
      <c r="J48" t="str">
        <f>IF('Valtteri Mappings'!D48=0,"",'Valtteri Mappings'!D48)</f>
        <v/>
      </c>
      <c r="K48">
        <f>'Paul Mappings'!C48</f>
        <v>7</v>
      </c>
      <c r="L48" t="str">
        <f>IF('Paul Mappings'!D48=0,"",'Paul Mappings'!D48)</f>
        <v>incident response</v>
      </c>
      <c r="O48">
        <f t="shared" si="3"/>
        <v>1</v>
      </c>
      <c r="P48" cm="1">
        <f t="array" ref="P48">SUMPRODUCT(--(ISNUMBER(SEARCH({"0";"1";"2";"3";"4";"5";"6";"7";"8"},SUBSTITUTE(G48," ",""))) * ISNUMBER(SEARCH({"0";"1";"2";"3";"4";"5";"6";"7";"8"},SUBSTITUTE(I48," ","")))))</f>
        <v>1</v>
      </c>
      <c r="Q48">
        <f t="shared" si="8"/>
        <v>0</v>
      </c>
      <c r="R48" cm="1">
        <f t="array" ref="R48">SUMPRODUCT(--(ISNUMBER(SEARCH({"0";"1";"2";"3";"4";"5";"6";"7";"8"},SUBSTITUTE(C48," ",""))) * ISNUMBER(SEARCH({"0";"1";"2";"3";"4";"5";"6";"7";"8"},SUBSTITUTE(I48," ","")))))</f>
        <v>1</v>
      </c>
      <c r="S48">
        <f t="shared" si="9"/>
        <v>0</v>
      </c>
      <c r="T48" cm="1">
        <f t="array" ref="T48">SUMPRODUCT(--(ISNUMBER(SEARCH({"0";"1";"2";"3";"4";"5";"6";"7";"8"},SUBSTITUTE(C48," ",""))) * ISNUMBER(SEARCH({"0";"1";"2";"3";"4";"5";"6";"7";"8"},SUBSTITUTE(G48," ","")))))</f>
        <v>1</v>
      </c>
      <c r="U48">
        <f t="shared" si="6"/>
        <v>0</v>
      </c>
      <c r="V48" cm="1">
        <f t="array" ref="V48">SUMPRODUCT(--(ISNUMBER(SEARCH({"0";"1";"2";"3";"4";"5";"6";"7";"8"},SUBSTITUTE(K48," ",""))) * ISNUMBER(SEARCH({"0";"1";"2";"3";"4";"5";"6";"7";"8"},SUBSTITUTE(G48," ","")))))</f>
        <v>0</v>
      </c>
      <c r="W48">
        <f t="shared" si="10"/>
        <v>0</v>
      </c>
      <c r="X48" cm="1">
        <f t="array" ref="X48">SUMPRODUCT(--(ISNUMBER(SEARCH({"0";"1";"2";"3";"4";"5";"6";"7";"8"},SUBSTITUTE(K48," ",""))) * ISNUMBER(SEARCH({"0";"1";"2";"3";"4";"5";"6";"7";"8"},SUBSTITUTE(C48," ","")))))</f>
        <v>1</v>
      </c>
      <c r="Y48">
        <f t="shared" si="7"/>
        <v>0</v>
      </c>
      <c r="Z48" cm="1">
        <f t="array" ref="Z48">SUMPRODUCT(--(ISNUMBER(SEARCH({"0";"1";"2";"3";"4";"5";"6";"7";"8"},SUBSTITUTE(K48," ",""))) * ISNUMBER(SEARCH({"0";"1";"2";"3";"4";"5";"6";"7";"8"},SUBSTITUTE(I48," ","")))))</f>
        <v>0</v>
      </c>
    </row>
    <row r="49" spans="1:26" ht="34" x14ac:dyDescent="0.2">
      <c r="A49" t="s">
        <v>134</v>
      </c>
      <c r="B49" s="5" t="s">
        <v>135</v>
      </c>
      <c r="C49" s="8" t="s">
        <v>79</v>
      </c>
      <c r="D49">
        <v>0</v>
      </c>
      <c r="G49" s="8">
        <f>'Sara Mappings'!C49</f>
        <v>0</v>
      </c>
      <c r="H49" s="9" t="str">
        <f>IF('Sara Mappings'!D49=0,"",'Sara Mappings'!D49)</f>
        <v>Cyberspace Practice</v>
      </c>
      <c r="I49">
        <f>'Valtteri Mappings'!C49</f>
        <v>5</v>
      </c>
      <c r="J49" t="str">
        <f>IF('Valtteri Mappings'!D49=0,"",'Valtteri Mappings'!D49)</f>
        <v/>
      </c>
      <c r="K49">
        <f>'Paul Mappings'!C49</f>
        <v>0</v>
      </c>
      <c r="L49" t="str">
        <f>IF('Paul Mappings'!D49=0,"",'Paul Mappings'!D49)</f>
        <v>Adapting defenses depending on threats - dynamic threat defense, then maybe 7,5?</v>
      </c>
      <c r="O49">
        <f t="shared" si="3"/>
        <v>0</v>
      </c>
      <c r="P49" cm="1">
        <f t="array" ref="P49">SUMPRODUCT(--(ISNUMBER(SEARCH({"0";"1";"2";"3";"4";"5";"6";"7";"8"},SUBSTITUTE(G49," ",""))) * ISNUMBER(SEARCH({"0";"1";"2";"3";"4";"5";"6";"7";"8"},SUBSTITUTE(I49," ","")))))</f>
        <v>0</v>
      </c>
      <c r="Q49">
        <f t="shared" si="8"/>
        <v>0</v>
      </c>
      <c r="R49" cm="1">
        <f t="array" ref="R49">SUMPRODUCT(--(ISNUMBER(SEARCH({"0";"1";"2";"3";"4";"5";"6";"7";"8"},SUBSTITUTE(C49," ",""))) * ISNUMBER(SEARCH({"0";"1";"2";"3";"4";"5";"6";"7";"8"},SUBSTITUTE(I49," ","")))))</f>
        <v>0</v>
      </c>
      <c r="S49">
        <f t="shared" si="9"/>
        <v>0</v>
      </c>
      <c r="T49" cm="1">
        <f t="array" ref="T49">SUMPRODUCT(--(ISNUMBER(SEARCH({"0";"1";"2";"3";"4";"5";"6";"7";"8"},SUBSTITUTE(C49," ",""))) * ISNUMBER(SEARCH({"0";"1";"2";"3";"4";"5";"6";"7";"8"},SUBSTITUTE(G49," ","")))))</f>
        <v>0</v>
      </c>
      <c r="U49">
        <f t="shared" si="6"/>
        <v>1</v>
      </c>
      <c r="V49" cm="1">
        <f t="array" ref="V49">SUMPRODUCT(--(ISNUMBER(SEARCH({"0";"1";"2";"3";"4";"5";"6";"7";"8"},SUBSTITUTE(K49," ",""))) * ISNUMBER(SEARCH({"0";"1";"2";"3";"4";"5";"6";"7";"8"},SUBSTITUTE(G49," ","")))))</f>
        <v>1</v>
      </c>
      <c r="W49">
        <f t="shared" si="10"/>
        <v>0</v>
      </c>
      <c r="X49" cm="1">
        <f t="array" ref="X49">SUMPRODUCT(--(ISNUMBER(SEARCH({"0";"1";"2";"3";"4";"5";"6";"7";"8"},SUBSTITUTE(K49," ",""))) * ISNUMBER(SEARCH({"0";"1";"2";"3";"4";"5";"6";"7";"8"},SUBSTITUTE(C49," ","")))))</f>
        <v>0</v>
      </c>
      <c r="Y49">
        <f t="shared" si="7"/>
        <v>0</v>
      </c>
      <c r="Z49" cm="1">
        <f t="array" ref="Z49">SUMPRODUCT(--(ISNUMBER(SEARCH({"0";"1";"2";"3";"4";"5";"6";"7";"8"},SUBSTITUTE(K49," ",""))) * ISNUMBER(SEARCH({"0";"1";"2";"3";"4";"5";"6";"7";"8"},SUBSTITUTE(I49," ","")))))</f>
        <v>0</v>
      </c>
    </row>
    <row r="50" spans="1:26" ht="34" x14ac:dyDescent="0.2">
      <c r="A50" t="s">
        <v>136</v>
      </c>
      <c r="B50" s="5" t="s">
        <v>137</v>
      </c>
      <c r="C50" s="8" t="s">
        <v>22</v>
      </c>
      <c r="D50">
        <v>1</v>
      </c>
      <c r="G50" s="8">
        <f>'Sara Mappings'!C50</f>
        <v>7</v>
      </c>
      <c r="H50" s="9" t="str">
        <f>IF('Sara Mappings'!D50=0,"",'Sara Mappings'!D50)</f>
        <v>Risk assessment and analysis</v>
      </c>
      <c r="I50">
        <f>'Valtteri Mappings'!C50</f>
        <v>7</v>
      </c>
      <c r="J50" t="str">
        <f>IF('Valtteri Mappings'!D50=0,"",'Valtteri Mappings'!D50)</f>
        <v/>
      </c>
      <c r="K50">
        <f>'Paul Mappings'!C50</f>
        <v>7</v>
      </c>
      <c r="L50" t="str">
        <f>IF('Paul Mappings'!D50=0,"",'Paul Mappings'!D50)</f>
        <v>Assessing asset protection plans, high level.</v>
      </c>
      <c r="O50">
        <f t="shared" si="3"/>
        <v>1</v>
      </c>
      <c r="P50" cm="1">
        <f t="array" ref="P50">SUMPRODUCT(--(ISNUMBER(SEARCH({"0";"1";"2";"3";"4";"5";"6";"7";"8"},SUBSTITUTE(G50," ",""))) * ISNUMBER(SEARCH({"0";"1";"2";"3";"4";"5";"6";"7";"8"},SUBSTITUTE(I50," ","")))))</f>
        <v>1</v>
      </c>
      <c r="Q50">
        <f t="shared" si="8"/>
        <v>1</v>
      </c>
      <c r="R50" cm="1">
        <f t="array" ref="R50">SUMPRODUCT(--(ISNUMBER(SEARCH({"0";"1";"2";"3";"4";"5";"6";"7";"8"},SUBSTITUTE(C50," ",""))) * ISNUMBER(SEARCH({"0";"1";"2";"3";"4";"5";"6";"7";"8"},SUBSTITUTE(I50," ","")))))</f>
        <v>1</v>
      </c>
      <c r="S50">
        <f t="shared" si="9"/>
        <v>1</v>
      </c>
      <c r="T50" cm="1">
        <f t="array" ref="T50">SUMPRODUCT(--(ISNUMBER(SEARCH({"0";"1";"2";"3";"4";"5";"6";"7";"8"},SUBSTITUTE(C50," ",""))) * ISNUMBER(SEARCH({"0";"1";"2";"3";"4";"5";"6";"7";"8"},SUBSTITUTE(G50," ","")))))</f>
        <v>1</v>
      </c>
      <c r="U50">
        <f t="shared" si="6"/>
        <v>1</v>
      </c>
      <c r="V50" cm="1">
        <f t="array" ref="V50">SUMPRODUCT(--(ISNUMBER(SEARCH({"0";"1";"2";"3";"4";"5";"6";"7";"8"},SUBSTITUTE(K50," ",""))) * ISNUMBER(SEARCH({"0";"1";"2";"3";"4";"5";"6";"7";"8"},SUBSTITUTE(G50," ","")))))</f>
        <v>1</v>
      </c>
      <c r="W50">
        <f t="shared" si="10"/>
        <v>1</v>
      </c>
      <c r="X50" cm="1">
        <f t="array" ref="X50">SUMPRODUCT(--(ISNUMBER(SEARCH({"0";"1";"2";"3";"4";"5";"6";"7";"8"},SUBSTITUTE(K50," ",""))) * ISNUMBER(SEARCH({"0";"1";"2";"3";"4";"5";"6";"7";"8"},SUBSTITUTE(C50," ","")))))</f>
        <v>1</v>
      </c>
      <c r="Y50">
        <f t="shared" si="7"/>
        <v>1</v>
      </c>
      <c r="Z50" cm="1">
        <f t="array" ref="Z50">SUMPRODUCT(--(ISNUMBER(SEARCH({"0";"1";"2";"3";"4";"5";"6";"7";"8"},SUBSTITUTE(K50," ",""))) * ISNUMBER(SEARCH({"0";"1";"2";"3";"4";"5";"6";"7";"8"},SUBSTITUTE(I50," ","")))))</f>
        <v>1</v>
      </c>
    </row>
    <row r="51" spans="1:26" ht="34" x14ac:dyDescent="0.2">
      <c r="A51" t="s">
        <v>138</v>
      </c>
      <c r="B51" s="5" t="s">
        <v>139</v>
      </c>
      <c r="C51" s="8" t="s">
        <v>22</v>
      </c>
      <c r="D51">
        <v>1</v>
      </c>
      <c r="G51" s="8">
        <f>'Sara Mappings'!C51</f>
        <v>7</v>
      </c>
      <c r="H51" s="9" t="str">
        <f>IF('Sara Mappings'!D51=0,"",'Sara Mappings'!D51)</f>
        <v xml:space="preserve">Risk Management </v>
      </c>
      <c r="I51">
        <f>'Valtteri Mappings'!C51</f>
        <v>7</v>
      </c>
      <c r="J51" t="str">
        <f>IF('Valtteri Mappings'!D51=0,"",'Valtteri Mappings'!D51)</f>
        <v/>
      </c>
      <c r="K51">
        <f>'Paul Mappings'!C51</f>
        <v>0</v>
      </c>
      <c r="L51" t="str">
        <f>IF('Paul Mappings'!D51=0,"",'Paul Mappings'!D51)</f>
        <v>cyberspace practice?</v>
      </c>
      <c r="O51">
        <f t="shared" si="3"/>
        <v>1</v>
      </c>
      <c r="P51" cm="1">
        <f t="array" ref="P51">SUMPRODUCT(--(ISNUMBER(SEARCH({"0";"1";"2";"3";"4";"5";"6";"7";"8"},SUBSTITUTE(G51," ",""))) * ISNUMBER(SEARCH({"0";"1";"2";"3";"4";"5";"6";"7";"8"},SUBSTITUTE(I51," ","")))))</f>
        <v>1</v>
      </c>
      <c r="Q51">
        <f t="shared" si="8"/>
        <v>1</v>
      </c>
      <c r="R51" cm="1">
        <f t="array" ref="R51">SUMPRODUCT(--(ISNUMBER(SEARCH({"0";"1";"2";"3";"4";"5";"6";"7";"8"},SUBSTITUTE(C51," ",""))) * ISNUMBER(SEARCH({"0";"1";"2";"3";"4";"5";"6";"7";"8"},SUBSTITUTE(I51," ","")))))</f>
        <v>1</v>
      </c>
      <c r="S51">
        <f t="shared" si="9"/>
        <v>1</v>
      </c>
      <c r="T51" cm="1">
        <f t="array" ref="T51">SUMPRODUCT(--(ISNUMBER(SEARCH({"0";"1";"2";"3";"4";"5";"6";"7";"8"},SUBSTITUTE(C51," ",""))) * ISNUMBER(SEARCH({"0";"1";"2";"3";"4";"5";"6";"7";"8"},SUBSTITUTE(G51," ","")))))</f>
        <v>1</v>
      </c>
      <c r="U51">
        <f t="shared" si="6"/>
        <v>0</v>
      </c>
      <c r="V51" cm="1">
        <f t="array" ref="V51">SUMPRODUCT(--(ISNUMBER(SEARCH({"0";"1";"2";"3";"4";"5";"6";"7";"8"},SUBSTITUTE(K51," ",""))) * ISNUMBER(SEARCH({"0";"1";"2";"3";"4";"5";"6";"7";"8"},SUBSTITUTE(G51," ","")))))</f>
        <v>0</v>
      </c>
      <c r="W51">
        <f t="shared" si="10"/>
        <v>0</v>
      </c>
      <c r="X51" cm="1">
        <f t="array" ref="X51">SUMPRODUCT(--(ISNUMBER(SEARCH({"0";"1";"2";"3";"4";"5";"6";"7";"8"},SUBSTITUTE(K51," ",""))) * ISNUMBER(SEARCH({"0";"1";"2";"3";"4";"5";"6";"7";"8"},SUBSTITUTE(C51," ","")))))</f>
        <v>0</v>
      </c>
      <c r="Y51">
        <f t="shared" si="7"/>
        <v>0</v>
      </c>
      <c r="Z51" cm="1">
        <f t="array" ref="Z51">SUMPRODUCT(--(ISNUMBER(SEARCH({"0";"1";"2";"3";"4";"5";"6";"7";"8"},SUBSTITUTE(K51," ",""))) * ISNUMBER(SEARCH({"0";"1";"2";"3";"4";"5";"6";"7";"8"},SUBSTITUTE(I51," ","")))))</f>
        <v>0</v>
      </c>
    </row>
    <row r="54" spans="1:26" x14ac:dyDescent="0.2">
      <c r="D54" s="17">
        <f>SUM(D2:D51)</f>
        <v>35</v>
      </c>
      <c r="E54" s="17">
        <f>SUM(E2:E51)</f>
        <v>4</v>
      </c>
      <c r="F54" s="17"/>
    </row>
    <row r="56" spans="1:26" x14ac:dyDescent="0.2">
      <c r="B56" t="str">
        <f>"""" &amp; _xlfn.TEXTJOIN(";", TRUE, B2:B51) &amp; """"</f>
        <v>"Knowledge of the organizational cybersecurity workforce;Knowledge of virtual learning environments;Knowledge of standard operating procedures (SOPs);Knowledge of systems security engineering;Knowledge of database schema capabilities and applications;Knowledge of enterprise cybersecurity architecture principles and practices;Knowledge of Wide Area Networks (WAN);Knowledge of human-computer interaction (HCI) principles and practices;Knowledge of intrusion detection tools and techniques;Knowledge of information technology (IT) architecture models and frameworks;Knowledge of system design tools and techniques;Knowledge of software engineering principles and practices;Knowledge of telecommunications principles and practices;Knowledge of information management tools and techniques;Knowledge of collaboration tools and techniques;Knowledge of program management principles and practices;Knowledge of cognitive domain models and frameworks;Knowledge of web mail tools and techniques;Knowledge of secure coding tools and techniques;Knowledge of risk tolerance principles and practices;Knowledge of account creation policies and procedures;Knowledge of cyberattack characteristics;Knowledge of cyberattack stages;Knowledge of cyber intrusion activity phases;Knowledge of crisis management tools and techniques;Knowledge of data concealment tools and techniques;Knowledge of embedded systems and software;Knowledge of intelligence collection sources;Knowledge of target selection criticality factors;Knowledge of exploitation tools and techniques;Knowledge of continuous monitoring scoring and grading metrics;Knowledge of cost constraints;Knowledge of cybersecurity standards and best practices;Knowledge of data encryption practices and principles;Knowledge of network monitoring tools and techniques;Knowledge of organizational security posture;Knowledge of packet analysis tools and techniques;Knowledge of Personally Identifiable Information (PII) attributes;Knowledge of privacy and data security regulators;Knowledge of reverse engineering tools and techniques;Knowledge of software and systems engineering life cycle standards;Knowledge of Windows scripts;Knowledge of digital and physical security vulnerabilities;Knowledge of external referrals policies and procedures;Knowledge of high value asset characteristics;Knowledge of suspicious activity response processes;Knowledge of system alert policies and procedures;Knowledge of threat-informed defense;Knowledge of assessment remediation requirements;Knowledge of OT cybersecurity risk tolerance levels"</v>
      </c>
    </row>
    <row r="63" spans="1:26" x14ac:dyDescent="0.2">
      <c r="D63" s="8" t="s">
        <v>228</v>
      </c>
    </row>
  </sheetData>
  <pageMargins left="0.7" right="0.7" top="0.75" bottom="0.75" header="0.3" footer="0.3"/>
  <pageSetup paperSize="9" orientation="portrait" horizontalDpi="0" verticalDpi="0"/>
  <ignoredErrors>
    <ignoredError sqref="C2:C30 C32:C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B6A89-48FC-6247-8527-6AB33E723DCF}">
  <dimension ref="A1"/>
  <sheetViews>
    <sheetView workbookViewId="0">
      <selection activeCell="D31" sqref="D3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F9819-89C0-EB4E-BC01-B0554E976DF6}">
  <dimension ref="A1:D51"/>
  <sheetViews>
    <sheetView workbookViewId="0">
      <selection activeCell="A2" sqref="A2"/>
    </sheetView>
  </sheetViews>
  <sheetFormatPr baseColWidth="10" defaultRowHeight="16" x14ac:dyDescent="0.2"/>
  <sheetData>
    <row r="1" spans="1:4" x14ac:dyDescent="0.2">
      <c r="A1" s="6" t="s">
        <v>0</v>
      </c>
      <c r="B1" s="6" t="s">
        <v>1</v>
      </c>
      <c r="C1" s="6" t="s">
        <v>19</v>
      </c>
      <c r="D1" s="6" t="s">
        <v>140</v>
      </c>
    </row>
    <row r="2" spans="1:4" ht="119" x14ac:dyDescent="0.2">
      <c r="A2" t="s">
        <v>20</v>
      </c>
      <c r="B2" s="5" t="s">
        <v>21</v>
      </c>
      <c r="C2">
        <v>7</v>
      </c>
    </row>
    <row r="3" spans="1:4" ht="85" x14ac:dyDescent="0.2">
      <c r="A3" t="s">
        <v>23</v>
      </c>
      <c r="B3" s="5" t="s">
        <v>24</v>
      </c>
      <c r="C3">
        <v>0</v>
      </c>
      <c r="D3" t="s">
        <v>141</v>
      </c>
    </row>
    <row r="4" spans="1:4" ht="85" x14ac:dyDescent="0.2">
      <c r="A4" t="s">
        <v>26</v>
      </c>
      <c r="B4" s="5" t="s">
        <v>27</v>
      </c>
      <c r="C4">
        <v>7</v>
      </c>
      <c r="D4" s="7" t="s">
        <v>142</v>
      </c>
    </row>
    <row r="5" spans="1:4" ht="68" x14ac:dyDescent="0.2">
      <c r="A5" t="s">
        <v>28</v>
      </c>
      <c r="B5" s="5" t="s">
        <v>29</v>
      </c>
      <c r="C5">
        <v>4</v>
      </c>
      <c r="D5" t="s">
        <v>143</v>
      </c>
    </row>
    <row r="6" spans="1:4" ht="119" x14ac:dyDescent="0.2">
      <c r="A6" t="s">
        <v>31</v>
      </c>
      <c r="B6" s="5" t="s">
        <v>32</v>
      </c>
      <c r="C6">
        <v>0</v>
      </c>
    </row>
    <row r="7" spans="1:4" ht="153" x14ac:dyDescent="0.2">
      <c r="A7" t="s">
        <v>33</v>
      </c>
      <c r="B7" s="5" t="s">
        <v>34</v>
      </c>
      <c r="C7">
        <v>7</v>
      </c>
    </row>
    <row r="8" spans="1:4" ht="85" x14ac:dyDescent="0.2">
      <c r="A8" t="s">
        <v>36</v>
      </c>
      <c r="B8" s="5" t="s">
        <v>37</v>
      </c>
      <c r="C8">
        <v>4</v>
      </c>
    </row>
    <row r="9" spans="1:4" ht="136" x14ac:dyDescent="0.2">
      <c r="A9" t="s">
        <v>38</v>
      </c>
      <c r="B9" s="5" t="s">
        <v>39</v>
      </c>
      <c r="C9">
        <v>0</v>
      </c>
      <c r="D9" t="s">
        <v>144</v>
      </c>
    </row>
    <row r="10" spans="1:4" ht="85" x14ac:dyDescent="0.2">
      <c r="A10" t="s">
        <v>41</v>
      </c>
      <c r="B10" s="5" t="s">
        <v>42</v>
      </c>
      <c r="C10">
        <v>4</v>
      </c>
      <c r="D10" t="s">
        <v>145</v>
      </c>
    </row>
    <row r="11" spans="1:4" ht="153" x14ac:dyDescent="0.2">
      <c r="A11" t="s">
        <v>43</v>
      </c>
      <c r="B11" s="5" t="s">
        <v>44</v>
      </c>
      <c r="C11">
        <v>0</v>
      </c>
    </row>
    <row r="12" spans="1:4" ht="85" x14ac:dyDescent="0.2">
      <c r="A12" t="s">
        <v>45</v>
      </c>
      <c r="B12" s="5" t="s">
        <v>46</v>
      </c>
      <c r="C12">
        <v>3</v>
      </c>
      <c r="D12" t="s">
        <v>146</v>
      </c>
    </row>
    <row r="13" spans="1:4" ht="102" x14ac:dyDescent="0.2">
      <c r="A13" t="s">
        <v>47</v>
      </c>
      <c r="B13" s="5" t="s">
        <v>48</v>
      </c>
      <c r="C13">
        <v>2</v>
      </c>
      <c r="D13" t="s">
        <v>147</v>
      </c>
    </row>
    <row r="14" spans="1:4" ht="119" x14ac:dyDescent="0.2">
      <c r="A14" t="s">
        <v>50</v>
      </c>
      <c r="B14" s="5" t="s">
        <v>51</v>
      </c>
      <c r="C14">
        <v>0</v>
      </c>
      <c r="D14" t="s">
        <v>148</v>
      </c>
    </row>
    <row r="15" spans="1:4" ht="102" x14ac:dyDescent="0.2">
      <c r="A15" t="s">
        <v>52</v>
      </c>
      <c r="B15" s="5" t="s">
        <v>53</v>
      </c>
      <c r="C15">
        <v>0</v>
      </c>
      <c r="D15" t="s">
        <v>149</v>
      </c>
    </row>
    <row r="16" spans="1:4" ht="85" x14ac:dyDescent="0.2">
      <c r="A16" t="s">
        <v>54</v>
      </c>
      <c r="B16" s="5" t="s">
        <v>55</v>
      </c>
      <c r="C16">
        <v>0</v>
      </c>
      <c r="D16" t="s">
        <v>150</v>
      </c>
    </row>
    <row r="17" spans="1:4" ht="119" x14ac:dyDescent="0.2">
      <c r="A17" t="s">
        <v>56</v>
      </c>
      <c r="B17" s="5" t="s">
        <v>57</v>
      </c>
      <c r="C17">
        <v>0</v>
      </c>
    </row>
    <row r="18" spans="1:4" ht="85" x14ac:dyDescent="0.2">
      <c r="A18" t="s">
        <v>59</v>
      </c>
      <c r="B18" s="5" t="s">
        <v>60</v>
      </c>
      <c r="C18">
        <v>0</v>
      </c>
      <c r="D18" t="s">
        <v>151</v>
      </c>
    </row>
    <row r="19" spans="1:4" ht="68" x14ac:dyDescent="0.2">
      <c r="A19" t="s">
        <v>61</v>
      </c>
      <c r="B19" s="5" t="s">
        <v>62</v>
      </c>
      <c r="C19">
        <v>0</v>
      </c>
      <c r="D19" t="s">
        <v>152</v>
      </c>
    </row>
    <row r="20" spans="1:4" ht="85" x14ac:dyDescent="0.2">
      <c r="A20" t="s">
        <v>63</v>
      </c>
      <c r="B20" s="5" t="s">
        <v>64</v>
      </c>
      <c r="C20">
        <v>2</v>
      </c>
    </row>
    <row r="21" spans="1:4" ht="102" x14ac:dyDescent="0.2">
      <c r="A21" t="s">
        <v>66</v>
      </c>
      <c r="B21" s="5" t="s">
        <v>67</v>
      </c>
      <c r="C21">
        <v>7</v>
      </c>
      <c r="D21" t="s">
        <v>153</v>
      </c>
    </row>
    <row r="22" spans="1:4" ht="85" x14ac:dyDescent="0.2">
      <c r="A22" t="s">
        <v>68</v>
      </c>
      <c r="B22" s="5" t="s">
        <v>69</v>
      </c>
      <c r="C22">
        <v>0</v>
      </c>
      <c r="D22" t="s">
        <v>150</v>
      </c>
    </row>
    <row r="23" spans="1:4" ht="85" x14ac:dyDescent="0.2">
      <c r="A23" t="s">
        <v>70</v>
      </c>
      <c r="B23" s="5" t="s">
        <v>71</v>
      </c>
      <c r="C23">
        <v>0</v>
      </c>
      <c r="D23" t="s">
        <v>154</v>
      </c>
    </row>
    <row r="24" spans="1:4" ht="68" x14ac:dyDescent="0.2">
      <c r="A24" t="s">
        <v>73</v>
      </c>
      <c r="B24" s="5" t="s">
        <v>74</v>
      </c>
      <c r="C24">
        <v>0</v>
      </c>
      <c r="D24" t="s">
        <v>154</v>
      </c>
    </row>
    <row r="25" spans="1:4" ht="85" x14ac:dyDescent="0.2">
      <c r="A25" t="s">
        <v>75</v>
      </c>
      <c r="B25" s="5" t="s">
        <v>76</v>
      </c>
      <c r="C25">
        <v>4</v>
      </c>
      <c r="D25" t="s">
        <v>145</v>
      </c>
    </row>
    <row r="26" spans="1:4" ht="85" x14ac:dyDescent="0.2">
      <c r="A26" t="s">
        <v>77</v>
      </c>
      <c r="B26" s="5" t="s">
        <v>78</v>
      </c>
      <c r="C26">
        <v>7</v>
      </c>
      <c r="D26" t="s">
        <v>153</v>
      </c>
    </row>
    <row r="27" spans="1:4" ht="85" x14ac:dyDescent="0.2">
      <c r="A27" t="s">
        <v>80</v>
      </c>
      <c r="B27" s="5" t="s">
        <v>81</v>
      </c>
      <c r="C27">
        <v>0</v>
      </c>
      <c r="D27" t="s">
        <v>154</v>
      </c>
    </row>
    <row r="28" spans="1:4" ht="102" x14ac:dyDescent="0.2">
      <c r="A28" t="s">
        <v>83</v>
      </c>
      <c r="B28" s="5" t="s">
        <v>84</v>
      </c>
      <c r="C28">
        <v>0</v>
      </c>
      <c r="D28" t="s">
        <v>155</v>
      </c>
    </row>
    <row r="29" spans="1:4" ht="85" x14ac:dyDescent="0.2">
      <c r="A29" t="s">
        <v>86</v>
      </c>
      <c r="B29" s="5" t="s">
        <v>87</v>
      </c>
      <c r="C29">
        <v>0</v>
      </c>
      <c r="D29" t="s">
        <v>154</v>
      </c>
    </row>
    <row r="30" spans="1:4" ht="85" x14ac:dyDescent="0.2">
      <c r="A30" t="s">
        <v>88</v>
      </c>
      <c r="B30" s="5" t="s">
        <v>89</v>
      </c>
      <c r="C30">
        <v>0</v>
      </c>
      <c r="D30" t="s">
        <v>154</v>
      </c>
    </row>
    <row r="31" spans="1:4" ht="85" x14ac:dyDescent="0.2">
      <c r="A31" t="s">
        <v>90</v>
      </c>
      <c r="B31" s="5" t="s">
        <v>91</v>
      </c>
      <c r="C31">
        <v>0</v>
      </c>
      <c r="D31" t="s">
        <v>154</v>
      </c>
    </row>
    <row r="32" spans="1:4" ht="119" x14ac:dyDescent="0.2">
      <c r="A32" t="s">
        <v>93</v>
      </c>
      <c r="B32" s="5" t="s">
        <v>94</v>
      </c>
      <c r="C32">
        <v>0</v>
      </c>
      <c r="D32" t="s">
        <v>141</v>
      </c>
    </row>
    <row r="33" spans="1:4" ht="51" x14ac:dyDescent="0.2">
      <c r="A33" t="s">
        <v>95</v>
      </c>
      <c r="B33" s="5" t="s">
        <v>96</v>
      </c>
      <c r="C33">
        <v>7</v>
      </c>
    </row>
    <row r="34" spans="1:4" ht="119" x14ac:dyDescent="0.2">
      <c r="A34" t="s">
        <v>97</v>
      </c>
      <c r="B34" s="5" t="s">
        <v>98</v>
      </c>
      <c r="C34">
        <v>0</v>
      </c>
      <c r="D34" t="s">
        <v>154</v>
      </c>
    </row>
    <row r="35" spans="1:4" ht="102" x14ac:dyDescent="0.2">
      <c r="A35" t="s">
        <v>99</v>
      </c>
      <c r="B35" s="5" t="s">
        <v>100</v>
      </c>
      <c r="C35">
        <v>1</v>
      </c>
    </row>
    <row r="36" spans="1:4" ht="85" x14ac:dyDescent="0.2">
      <c r="A36" t="s">
        <v>102</v>
      </c>
      <c r="B36" s="5" t="s">
        <v>103</v>
      </c>
      <c r="C36">
        <v>4</v>
      </c>
      <c r="D36" t="s">
        <v>145</v>
      </c>
    </row>
    <row r="37" spans="1:4" ht="85" x14ac:dyDescent="0.2">
      <c r="A37" t="s">
        <v>104</v>
      </c>
      <c r="B37" s="5" t="s">
        <v>105</v>
      </c>
      <c r="C37">
        <v>7</v>
      </c>
    </row>
    <row r="38" spans="1:4" ht="85" x14ac:dyDescent="0.2">
      <c r="A38" t="s">
        <v>106</v>
      </c>
      <c r="B38" s="5" t="s">
        <v>107</v>
      </c>
      <c r="C38">
        <v>4</v>
      </c>
      <c r="D38" t="s">
        <v>145</v>
      </c>
    </row>
    <row r="39" spans="1:4" ht="119" x14ac:dyDescent="0.2">
      <c r="A39" t="s">
        <v>109</v>
      </c>
      <c r="B39" s="5" t="s">
        <v>110</v>
      </c>
      <c r="C39">
        <v>0</v>
      </c>
      <c r="D39" t="s">
        <v>154</v>
      </c>
    </row>
    <row r="40" spans="1:4" ht="85" x14ac:dyDescent="0.2">
      <c r="A40" t="s">
        <v>112</v>
      </c>
      <c r="B40" s="5" t="s">
        <v>113</v>
      </c>
      <c r="C40">
        <v>8</v>
      </c>
    </row>
    <row r="41" spans="1:4" ht="85" x14ac:dyDescent="0.2">
      <c r="A41" t="s">
        <v>114</v>
      </c>
      <c r="B41" s="5" t="s">
        <v>115</v>
      </c>
      <c r="C41">
        <v>6</v>
      </c>
    </row>
    <row r="42" spans="1:4" ht="119" x14ac:dyDescent="0.2">
      <c r="A42" t="s">
        <v>117</v>
      </c>
      <c r="B42" s="5" t="s">
        <v>118</v>
      </c>
      <c r="C42">
        <v>5</v>
      </c>
      <c r="D42" t="s">
        <v>156</v>
      </c>
    </row>
    <row r="43" spans="1:4" ht="51" x14ac:dyDescent="0.2">
      <c r="A43" t="s">
        <v>120</v>
      </c>
      <c r="B43" s="5" t="s">
        <v>121</v>
      </c>
      <c r="C43">
        <v>2</v>
      </c>
    </row>
    <row r="44" spans="1:4" ht="119" x14ac:dyDescent="0.2">
      <c r="A44" t="s">
        <v>122</v>
      </c>
      <c r="B44" s="5" t="s">
        <v>123</v>
      </c>
      <c r="C44">
        <v>0</v>
      </c>
      <c r="D44" t="s">
        <v>154</v>
      </c>
    </row>
    <row r="45" spans="1:4" ht="85" x14ac:dyDescent="0.2">
      <c r="A45" t="s">
        <v>125</v>
      </c>
      <c r="B45" s="5" t="s">
        <v>126</v>
      </c>
      <c r="C45">
        <v>0</v>
      </c>
      <c r="D45" t="s">
        <v>150</v>
      </c>
    </row>
    <row r="46" spans="1:4" ht="85" x14ac:dyDescent="0.2">
      <c r="A46" t="s">
        <v>127</v>
      </c>
      <c r="B46" s="5" t="s">
        <v>128</v>
      </c>
      <c r="C46">
        <v>0</v>
      </c>
      <c r="D46" t="s">
        <v>154</v>
      </c>
    </row>
    <row r="47" spans="1:4" ht="102" x14ac:dyDescent="0.2">
      <c r="A47" t="s">
        <v>129</v>
      </c>
      <c r="B47" s="5" t="s">
        <v>130</v>
      </c>
      <c r="C47">
        <v>7</v>
      </c>
      <c r="D47" t="s">
        <v>157</v>
      </c>
    </row>
    <row r="48" spans="1:4" ht="85" x14ac:dyDescent="0.2">
      <c r="A48" t="s">
        <v>132</v>
      </c>
      <c r="B48" s="5" t="s">
        <v>133</v>
      </c>
      <c r="C48">
        <v>5</v>
      </c>
      <c r="D48" t="s">
        <v>156</v>
      </c>
    </row>
    <row r="49" spans="1:4" ht="68" x14ac:dyDescent="0.2">
      <c r="A49" t="s">
        <v>134</v>
      </c>
      <c r="B49" s="5" t="s">
        <v>135</v>
      </c>
      <c r="C49">
        <v>0</v>
      </c>
      <c r="D49" t="s">
        <v>154</v>
      </c>
    </row>
    <row r="50" spans="1:4" ht="119" x14ac:dyDescent="0.2">
      <c r="A50" t="s">
        <v>136</v>
      </c>
      <c r="B50" s="5" t="s">
        <v>137</v>
      </c>
      <c r="C50">
        <v>7</v>
      </c>
      <c r="D50" t="s">
        <v>158</v>
      </c>
    </row>
    <row r="51" spans="1:4" ht="102" x14ac:dyDescent="0.2">
      <c r="A51" t="s">
        <v>138</v>
      </c>
      <c r="B51" s="5" t="s">
        <v>139</v>
      </c>
      <c r="C51">
        <v>7</v>
      </c>
      <c r="D51" t="s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4F5BB-920F-694F-A5BE-E64C385DFA75}">
  <dimension ref="A1:A20"/>
  <sheetViews>
    <sheetView topLeftCell="A2" zoomScale="150" zoomScaleNormal="150" workbookViewId="0">
      <selection activeCell="A21" sqref="A21"/>
    </sheetView>
  </sheetViews>
  <sheetFormatPr baseColWidth="10" defaultRowHeight="16" x14ac:dyDescent="0.2"/>
  <sheetData>
    <row r="1" spans="1:1" x14ac:dyDescent="0.2">
      <c r="A1" t="s">
        <v>2</v>
      </c>
    </row>
    <row r="2" spans="1:1" x14ac:dyDescent="0.2">
      <c r="A2" t="s">
        <v>3</v>
      </c>
    </row>
    <row r="3" spans="1:1" x14ac:dyDescent="0.2">
      <c r="A3" t="s">
        <v>4</v>
      </c>
    </row>
    <row r="4" spans="1:1" x14ac:dyDescent="0.2">
      <c r="A4" t="s">
        <v>5</v>
      </c>
    </row>
    <row r="5" spans="1:1" x14ac:dyDescent="0.2">
      <c r="A5" t="s">
        <v>7</v>
      </c>
    </row>
    <row r="6" spans="1:1" x14ac:dyDescent="0.2">
      <c r="A6" t="s">
        <v>8</v>
      </c>
    </row>
    <row r="7" spans="1:1" x14ac:dyDescent="0.2">
      <c r="A7" t="s">
        <v>6</v>
      </c>
    </row>
    <row r="8" spans="1:1" x14ac:dyDescent="0.2">
      <c r="A8" s="1" t="s">
        <v>9</v>
      </c>
    </row>
    <row r="10" spans="1:1" x14ac:dyDescent="0.2">
      <c r="A10" s="2" t="s">
        <v>10</v>
      </c>
    </row>
    <row r="11" spans="1:1" x14ac:dyDescent="0.2">
      <c r="A11" s="1" t="s">
        <v>11</v>
      </c>
    </row>
    <row r="12" spans="1:1" x14ac:dyDescent="0.2">
      <c r="A12" s="2" t="s">
        <v>12</v>
      </c>
    </row>
    <row r="14" spans="1:1" x14ac:dyDescent="0.2">
      <c r="A14" s="3" t="s">
        <v>13</v>
      </c>
    </row>
    <row r="15" spans="1:1" x14ac:dyDescent="0.2">
      <c r="A15" s="3" t="s">
        <v>14</v>
      </c>
    </row>
    <row r="17" spans="1:1" x14ac:dyDescent="0.2">
      <c r="A17" s="2" t="s">
        <v>15</v>
      </c>
    </row>
    <row r="18" spans="1:1" x14ac:dyDescent="0.2">
      <c r="A18" s="2" t="s">
        <v>16</v>
      </c>
    </row>
    <row r="19" spans="1:1" x14ac:dyDescent="0.2">
      <c r="A19" s="4" t="s">
        <v>17</v>
      </c>
    </row>
    <row r="20" spans="1:1" x14ac:dyDescent="0.2">
      <c r="A20" s="4" t="s">
        <v>18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07F27-FC1B-D747-B54B-4AB2B6C3F4CD}">
  <dimension ref="A1:J37"/>
  <sheetViews>
    <sheetView tabSelected="1" workbookViewId="0">
      <selection activeCell="L23" sqref="L23"/>
    </sheetView>
  </sheetViews>
  <sheetFormatPr baseColWidth="10" defaultRowHeight="16" x14ac:dyDescent="0.2"/>
  <cols>
    <col min="2" max="7" width="12.1640625" customWidth="1"/>
    <col min="8" max="8" width="21.33203125" customWidth="1"/>
    <col min="9" max="9" width="23.1640625" customWidth="1"/>
    <col min="10" max="10" width="23" customWidth="1"/>
  </cols>
  <sheetData>
    <row r="1" spans="1:10" x14ac:dyDescent="0.2">
      <c r="A1" t="s">
        <v>327</v>
      </c>
      <c r="B1" t="s">
        <v>328</v>
      </c>
      <c r="C1" t="s">
        <v>329</v>
      </c>
      <c r="D1" t="s">
        <v>330</v>
      </c>
      <c r="E1" t="s">
        <v>352</v>
      </c>
      <c r="F1" t="s">
        <v>353</v>
      </c>
      <c r="G1" t="s">
        <v>354</v>
      </c>
      <c r="H1" t="s">
        <v>331</v>
      </c>
      <c r="I1" t="s">
        <v>332</v>
      </c>
      <c r="J1" t="s">
        <v>333</v>
      </c>
    </row>
    <row r="2" spans="1:10" ht="22" x14ac:dyDescent="0.3">
      <c r="A2" s="18" t="s">
        <v>292</v>
      </c>
      <c r="B2" s="18" t="str">
        <f>LEFT(A2, 1)</f>
        <v>A</v>
      </c>
      <c r="C2" s="18" t="str">
        <f>MID(A2,2,1)</f>
        <v>B</v>
      </c>
      <c r="D2" s="18" t="str">
        <f>MID(A2,3,1)</f>
        <v>C</v>
      </c>
      <c r="E2" s="18" t="str" cm="1">
        <f t="array" aca="1" ref="E2" ca="1">INDIRECT("Girls!B" &amp; (19 + MATCH(B2,{"A";"B";"C";"D";"E";"F";"G";"H";"I";"J";"K";"L";"M";"N";"O"},0)))</f>
        <v>K1248</v>
      </c>
      <c r="F2" s="18" t="str" cm="1">
        <f t="array" aca="1" ref="F2" ca="1">INDIRECT("Girls!B" &amp; (19 + MATCH(C2,{"A";"B";"C";"D";"E";"F";"G";"H";"I";"J";"K";"L";"M";"N";"O"},0)))</f>
        <v>K0829</v>
      </c>
      <c r="G2" s="18" t="str" cm="1">
        <f t="array" aca="1" ref="G2" ca="1">INDIRECT("Girls!B" &amp; (19 + MATCH(D2,{"A";"B";"C";"D";"E";"F";"G";"H";"I";"J";"K";"L";"M";"N";"O"},0)))</f>
        <v>K1207</v>
      </c>
      <c r="H2" s="19" t="s">
        <v>30</v>
      </c>
      <c r="I2" s="19" t="s">
        <v>364</v>
      </c>
      <c r="J2" s="19" t="s">
        <v>65</v>
      </c>
    </row>
    <row r="3" spans="1:10" ht="22" x14ac:dyDescent="0.3">
      <c r="A3" s="18" t="s">
        <v>293</v>
      </c>
      <c r="B3" s="18" t="str">
        <f t="shared" ref="B3:B36" si="0">LEFT(A3, 1)</f>
        <v>D</v>
      </c>
      <c r="C3" s="18" t="str">
        <f t="shared" ref="C3:C23" si="1">MID(A3,2,1)</f>
        <v>E</v>
      </c>
      <c r="D3" s="18" t="str">
        <f t="shared" ref="D3:D23" si="2">MID(A3,3,1)</f>
        <v>F</v>
      </c>
      <c r="E3" s="18" t="str" cm="1">
        <f t="array" aca="1" ref="E3" ca="1">INDIRECT("Girls!B" &amp; (19 + MATCH(B3,{"A";"B";"C";"D";"E";"F";"G";"H";"I";"J";"K";"L";"M";"N";"O"},0)))</f>
        <v>K1145</v>
      </c>
      <c r="F3" s="18" t="str" cm="1">
        <f t="array" aca="1" ref="F3" ca="1">INDIRECT("Girls!B" &amp; (19 + MATCH(C3,{"A";"B";"C";"D";"E";"F";"G";"H";"I";"J";"K";"L";"M";"N";"O"},0)))</f>
        <v>K0757</v>
      </c>
      <c r="G3" s="18" t="str" cm="1">
        <f t="array" aca="1" ref="G3" ca="1">INDIRECT("Girls!B" &amp; (19 + MATCH(D3,{"A";"B";"C";"D";"E";"F";"G";"H";"I";"J";"K";"L";"M";"N";"O"},0)))</f>
        <v>K0645</v>
      </c>
      <c r="H3" s="19" t="s">
        <v>396</v>
      </c>
      <c r="I3" s="19" t="s">
        <v>397</v>
      </c>
      <c r="J3" s="19" t="s">
        <v>358</v>
      </c>
    </row>
    <row r="4" spans="1:10" ht="22" x14ac:dyDescent="0.3">
      <c r="A4" s="18" t="s">
        <v>294</v>
      </c>
      <c r="B4" s="18" t="str">
        <f t="shared" si="0"/>
        <v>G</v>
      </c>
      <c r="C4" s="18" t="str">
        <f t="shared" si="1"/>
        <v>H</v>
      </c>
      <c r="D4" s="18" t="str">
        <f t="shared" si="2"/>
        <v>I</v>
      </c>
      <c r="E4" s="18" t="str" cm="1">
        <f t="array" aca="1" ref="E4" ca="1">INDIRECT("Girls!B" &amp; (19 + MATCH(B4,{"A";"B";"C";"D";"E";"F";"G";"H";"I";"J";"K";"L";"M";"N";"O"},0)))</f>
        <v>K1279</v>
      </c>
      <c r="F4" s="18" t="str" cm="1">
        <f t="array" aca="1" ref="F4" ca="1">INDIRECT("Girls!B" &amp; (19 + MATCH(C4,{"A";"B";"C";"D";"E";"F";"G";"H";"I";"J";"K";"L";"M";"N";"O"},0)))</f>
        <v>K0807</v>
      </c>
      <c r="G4" s="18" t="str" cm="1">
        <f t="array" aca="1" ref="G4" ca="1">INDIRECT("Girls!B" &amp; (19 + MATCH(D4,{"A";"B";"C";"D";"E";"F";"G";"H";"I";"J";"K";"L";"M";"N";"O"},0)))</f>
        <v>K0775</v>
      </c>
      <c r="H4" s="19" t="s">
        <v>363</v>
      </c>
      <c r="I4" s="19" t="s">
        <v>101</v>
      </c>
      <c r="J4" s="19" t="s">
        <v>30</v>
      </c>
    </row>
    <row r="5" spans="1:10" ht="22" x14ac:dyDescent="0.3">
      <c r="A5" s="18" t="s">
        <v>295</v>
      </c>
      <c r="B5" s="18" t="str">
        <f t="shared" si="0"/>
        <v>J</v>
      </c>
      <c r="C5" s="18" t="str">
        <f t="shared" si="1"/>
        <v>K</v>
      </c>
      <c r="D5" s="18" t="str">
        <f t="shared" si="2"/>
        <v>L</v>
      </c>
      <c r="E5" s="18" t="str" cm="1">
        <f t="array" aca="1" ref="E5" ca="1">INDIRECT("Girls!B" &amp; (19 + MATCH(B5,{"A";"B";"C";"D";"E";"F";"G";"H";"I";"J";"K";"L";"M";"N";"O"},0)))</f>
        <v>K0713</v>
      </c>
      <c r="F5" s="18" t="str" cm="1">
        <f t="array" aca="1" ref="F5" ca="1">INDIRECT("Girls!B" &amp; (19 + MATCH(C5,{"A";"B";"C";"D";"E";"F";"G";"H";"I";"J";"K";"L";"M";"N";"O"},0)))</f>
        <v>K1193</v>
      </c>
      <c r="G5" s="18" t="str" cm="1">
        <f t="array" aca="1" ref="G5" ca="1">INDIRECT("Girls!B" &amp; (19 + MATCH(D5,{"A";"B";"C";"D";"E";"F";"G";"H";"I";"J";"K";"L";"M";"N";"O"},0)))</f>
        <v>K0710</v>
      </c>
      <c r="H5" s="19" t="s">
        <v>30</v>
      </c>
      <c r="I5" s="19" t="s">
        <v>367</v>
      </c>
      <c r="J5" s="19" t="s">
        <v>398</v>
      </c>
    </row>
    <row r="6" spans="1:10" ht="22" x14ac:dyDescent="0.3">
      <c r="A6" s="18" t="s">
        <v>296</v>
      </c>
      <c r="B6" s="18" t="str">
        <f t="shared" si="0"/>
        <v>M</v>
      </c>
      <c r="C6" s="18" t="str">
        <f t="shared" si="1"/>
        <v>N</v>
      </c>
      <c r="D6" s="18" t="str">
        <f t="shared" si="2"/>
        <v>O</v>
      </c>
      <c r="E6" s="18" t="str" cm="1">
        <f t="array" aca="1" ref="E6" ca="1">INDIRECT("Girls!B" &amp; (19 + MATCH(B6,{"A";"B";"C";"D";"E";"F";"G";"H";"I";"J";"K";"L";"M";"N";"O"},0)))</f>
        <v>K0798</v>
      </c>
      <c r="F6" s="18" t="str" cm="1">
        <f t="array" aca="1" ref="F6" ca="1">INDIRECT("Girls!B" &amp; (19 + MATCH(C6,{"A";"B";"C";"D";"E";"F";"G";"H";"I";"J";"K";"L";"M";"N";"O"},0)))</f>
        <v>K0941</v>
      </c>
      <c r="G6" s="18" t="str" cm="1">
        <f t="array" aca="1" ref="G6" ca="1">INDIRECT("Girls!B" &amp; (19 + MATCH(D6,{"A";"B";"C";"D";"E";"F";"G";"H";"I";"J";"K";"L";"M";"N";"O"},0)))</f>
        <v>K1126</v>
      </c>
      <c r="H6" s="19" t="s">
        <v>358</v>
      </c>
      <c r="I6" s="19" t="s">
        <v>359</v>
      </c>
      <c r="J6" s="19" t="s">
        <v>360</v>
      </c>
    </row>
    <row r="7" spans="1:10" ht="22" x14ac:dyDescent="0.3">
      <c r="A7" s="18" t="s">
        <v>297</v>
      </c>
      <c r="B7" s="18" t="str">
        <f t="shared" si="0"/>
        <v>A</v>
      </c>
      <c r="C7" s="18" t="str">
        <f t="shared" si="1"/>
        <v>D</v>
      </c>
      <c r="D7" s="18" t="str">
        <f t="shared" si="2"/>
        <v>G</v>
      </c>
      <c r="E7" s="18" t="str" cm="1">
        <f t="array" aca="1" ref="E7" ca="1">INDIRECT("Girls!B" &amp; (19 + MATCH(B7,{"A";"B";"C";"D";"E";"F";"G";"H";"I";"J";"K";"L";"M";"N";"O"},0)))</f>
        <v>K1248</v>
      </c>
      <c r="F7" s="18" t="str" cm="1">
        <f t="array" aca="1" ref="F7" ca="1">INDIRECT("Girls!B" &amp; (19 + MATCH(C7,{"A";"B";"C";"D";"E";"F";"G";"H";"I";"J";"K";"L";"M";"N";"O"},0)))</f>
        <v>K1145</v>
      </c>
      <c r="G7" s="18" t="str" cm="1">
        <f t="array" aca="1" ref="G7" ca="1">INDIRECT("Girls!B" &amp; (19 + MATCH(D7,{"A";"B";"C";"D";"E";"F";"G";"H";"I";"J";"K";"L";"M";"N";"O"},0)))</f>
        <v>K1279</v>
      </c>
      <c r="H7" s="20" t="s">
        <v>370</v>
      </c>
      <c r="I7" s="20" t="s">
        <v>371</v>
      </c>
      <c r="J7" s="20" t="s">
        <v>30</v>
      </c>
    </row>
    <row r="8" spans="1:10" ht="22" x14ac:dyDescent="0.3">
      <c r="A8" s="18" t="s">
        <v>298</v>
      </c>
      <c r="B8" s="18" t="str">
        <f t="shared" si="0"/>
        <v>B</v>
      </c>
      <c r="C8" s="18" t="str">
        <f t="shared" si="1"/>
        <v>E</v>
      </c>
      <c r="D8" s="18" t="str">
        <f t="shared" si="2"/>
        <v>H</v>
      </c>
      <c r="E8" s="18" t="str" cm="1">
        <f t="array" aca="1" ref="E8" ca="1">INDIRECT("Girls!B" &amp; (19 + MATCH(B8,{"A";"B";"C";"D";"E";"F";"G";"H";"I";"J";"K";"L";"M";"N";"O"},0)))</f>
        <v>K0829</v>
      </c>
      <c r="F8" s="18" t="str" cm="1">
        <f t="array" aca="1" ref="F8" ca="1">INDIRECT("Girls!B" &amp; (19 + MATCH(C8,{"A";"B";"C";"D";"E";"F";"G";"H";"I";"J";"K";"L";"M";"N";"O"},0)))</f>
        <v>K0757</v>
      </c>
      <c r="G8" s="18" t="str" cm="1">
        <f t="array" aca="1" ref="G8" ca="1">INDIRECT("Girls!B" &amp; (19 + MATCH(D8,{"A";"B";"C";"D";"E";"F";"G";"H";"I";"J";"K";"L";"M";"N";"O"},0)))</f>
        <v>K0807</v>
      </c>
      <c r="H8" s="20" t="s">
        <v>355</v>
      </c>
      <c r="I8" s="20" t="s">
        <v>356</v>
      </c>
      <c r="J8" s="20" t="s">
        <v>357</v>
      </c>
    </row>
    <row r="9" spans="1:10" ht="22" x14ac:dyDescent="0.3">
      <c r="A9" s="18" t="s">
        <v>299</v>
      </c>
      <c r="B9" s="18" t="str">
        <f t="shared" si="0"/>
        <v>C</v>
      </c>
      <c r="C9" s="18" t="str">
        <f t="shared" si="1"/>
        <v>J</v>
      </c>
      <c r="D9" s="18" t="str">
        <f t="shared" si="2"/>
        <v>M</v>
      </c>
      <c r="E9" s="18" t="str" cm="1">
        <f t="array" aca="1" ref="E9" ca="1">INDIRECT("Girls!B" &amp; (19 + MATCH(B9,{"A";"B";"C";"D";"E";"F";"G";"H";"I";"J";"K";"L";"M";"N";"O"},0)))</f>
        <v>K1207</v>
      </c>
      <c r="F9" s="18" t="str" cm="1">
        <f t="array" aca="1" ref="F9" ca="1">INDIRECT("Girls!B" &amp; (19 + MATCH(C9,{"A";"B";"C";"D";"E";"F";"G";"H";"I";"J";"K";"L";"M";"N";"O"},0)))</f>
        <v>K0713</v>
      </c>
      <c r="G9" s="18" t="str" cm="1">
        <f t="array" aca="1" ref="G9" ca="1">INDIRECT("Girls!B" &amp; (19 + MATCH(D9,{"A";"B";"C";"D";"E";"F";"G";"H";"I";"J";"K";"L";"M";"N";"O"},0)))</f>
        <v>K0798</v>
      </c>
      <c r="H9" s="20" t="s">
        <v>361</v>
      </c>
      <c r="I9" s="20" t="s">
        <v>368</v>
      </c>
      <c r="J9" s="20" t="s">
        <v>369</v>
      </c>
    </row>
    <row r="10" spans="1:10" ht="22" x14ac:dyDescent="0.3">
      <c r="A10" s="18" t="s">
        <v>300</v>
      </c>
      <c r="B10" s="18" t="str">
        <f t="shared" si="0"/>
        <v>F</v>
      </c>
      <c r="C10" s="18" t="str">
        <f t="shared" si="1"/>
        <v>K</v>
      </c>
      <c r="D10" s="18" t="str">
        <f t="shared" si="2"/>
        <v>N</v>
      </c>
      <c r="E10" s="18" t="str" cm="1">
        <f t="array" aca="1" ref="E10" ca="1">INDIRECT("Girls!B" &amp; (19 + MATCH(B10,{"A";"B";"C";"D";"E";"F";"G";"H";"I";"J";"K";"L";"M";"N";"O"},0)))</f>
        <v>K0645</v>
      </c>
      <c r="F10" s="18" t="str" cm="1">
        <f t="array" aca="1" ref="F10" ca="1">INDIRECT("Girls!B" &amp; (19 + MATCH(C10,{"A";"B";"C";"D";"E";"F";"G";"H";"I";"J";"K";"L";"M";"N";"O"},0)))</f>
        <v>K1193</v>
      </c>
      <c r="G10" s="18" t="str" cm="1">
        <f t="array" aca="1" ref="G10" ca="1">INDIRECT("Girls!B" &amp; (19 + MATCH(D10,{"A";"B";"C";"D";"E";"F";"G";"H";"I";"J";"K";"L";"M";"N";"O"},0)))</f>
        <v>K0941</v>
      </c>
      <c r="H10" s="20" t="s">
        <v>374</v>
      </c>
      <c r="I10" s="20" t="s">
        <v>375</v>
      </c>
      <c r="J10" s="20" t="s">
        <v>376</v>
      </c>
    </row>
    <row r="11" spans="1:10" ht="22" x14ac:dyDescent="0.3">
      <c r="A11" s="18" t="s">
        <v>301</v>
      </c>
      <c r="B11" s="18" t="str">
        <f t="shared" si="0"/>
        <v>I</v>
      </c>
      <c r="C11" s="18" t="str">
        <f t="shared" si="1"/>
        <v>L</v>
      </c>
      <c r="D11" s="18" t="str">
        <f t="shared" si="2"/>
        <v>O</v>
      </c>
      <c r="E11" s="18" t="str" cm="1">
        <f t="array" aca="1" ref="E11" ca="1">INDIRECT("Girls!B" &amp; (19 + MATCH(B11,{"A";"B";"C";"D";"E";"F";"G";"H";"I";"J";"K";"L";"M";"N";"O"},0)))</f>
        <v>K0775</v>
      </c>
      <c r="F11" s="18" t="str" cm="1">
        <f t="array" aca="1" ref="F11" ca="1">INDIRECT("Girls!B" &amp; (19 + MATCH(C11,{"A";"B";"C";"D";"E";"F";"G";"H";"I";"J";"K";"L";"M";"N";"O"},0)))</f>
        <v>K0710</v>
      </c>
      <c r="G11" s="18" t="str" cm="1">
        <f t="array" aca="1" ref="G11" ca="1">INDIRECT("Girls!B" &amp; (19 + MATCH(D11,{"A";"B";"C";"D";"E";"F";"G";"H";"I";"J";"K";"L";"M";"N";"O"},0)))</f>
        <v>K1126</v>
      </c>
      <c r="H11" s="20" t="s">
        <v>372</v>
      </c>
      <c r="I11" s="20" t="s">
        <v>373</v>
      </c>
      <c r="J11" s="20" t="s">
        <v>361</v>
      </c>
    </row>
    <row r="12" spans="1:10" ht="22" x14ac:dyDescent="0.3">
      <c r="A12" s="18" t="s">
        <v>302</v>
      </c>
      <c r="B12" s="18" t="str">
        <f t="shared" si="0"/>
        <v>A</v>
      </c>
      <c r="C12" s="18" t="str">
        <f t="shared" si="1"/>
        <v>E</v>
      </c>
      <c r="D12" s="18" t="str">
        <f t="shared" si="2"/>
        <v>O</v>
      </c>
      <c r="E12" s="18" t="str" cm="1">
        <f t="array" aca="1" ref="E12" ca="1">INDIRECT("Girls!B" &amp; (19 + MATCH(B12,{"A";"B";"C";"D";"E";"F";"G";"H";"I";"J";"K";"L";"M";"N";"O"},0)))</f>
        <v>K1248</v>
      </c>
      <c r="F12" s="18" t="str" cm="1">
        <f t="array" aca="1" ref="F12" ca="1">INDIRECT("Girls!B" &amp; (19 + MATCH(C12,{"A";"B";"C";"D";"E";"F";"G";"H";"I";"J";"K";"L";"M";"N";"O"},0)))</f>
        <v>K0757</v>
      </c>
      <c r="G12" s="18" t="str" cm="1">
        <f t="array" aca="1" ref="G12" ca="1">INDIRECT("Girls!B" &amp; (19 + MATCH(D12,{"A";"B";"C";"D";"E";"F";"G";"H";"I";"J";"K";"L";"M";"N";"O"},0)))</f>
        <v>K1126</v>
      </c>
      <c r="H12" s="20" t="s">
        <v>382</v>
      </c>
      <c r="I12" s="20" t="s">
        <v>383</v>
      </c>
      <c r="J12" s="20" t="s">
        <v>22</v>
      </c>
    </row>
    <row r="13" spans="1:10" ht="22" x14ac:dyDescent="0.3">
      <c r="A13" s="18" t="s">
        <v>303</v>
      </c>
      <c r="B13" s="18" t="str">
        <f t="shared" si="0"/>
        <v>B</v>
      </c>
      <c r="C13" s="18" t="str">
        <f t="shared" si="1"/>
        <v>I</v>
      </c>
      <c r="D13" s="18" t="str">
        <f t="shared" si="2"/>
        <v>J</v>
      </c>
      <c r="E13" s="18" t="str" cm="1">
        <f t="array" aca="1" ref="E13" ca="1">INDIRECT("Girls!B" &amp; (19 + MATCH(B13,{"A";"B";"C";"D";"E";"F";"G";"H";"I";"J";"K";"L";"M";"N";"O"},0)))</f>
        <v>K0829</v>
      </c>
      <c r="F13" s="18" t="str" cm="1">
        <f t="array" aca="1" ref="F13" ca="1">INDIRECT("Girls!B" &amp; (19 + MATCH(C13,{"A";"B";"C";"D";"E";"F";"G";"H";"I";"J";"K";"L";"M";"N";"O"},0)))</f>
        <v>K0775</v>
      </c>
      <c r="G13" s="18" t="str" cm="1">
        <f t="array" aca="1" ref="G13" ca="1">INDIRECT("Girls!B" &amp; (19 + MATCH(D13,{"A";"B";"C";"D";"E";"F";"G";"H";"I";"J";"K";"L";"M";"N";"O"},0)))</f>
        <v>K0713</v>
      </c>
      <c r="H13" s="20" t="s">
        <v>379</v>
      </c>
      <c r="I13" s="20" t="s">
        <v>380</v>
      </c>
      <c r="J13" s="20" t="s">
        <v>381</v>
      </c>
    </row>
    <row r="14" spans="1:10" ht="22" x14ac:dyDescent="0.3">
      <c r="A14" s="18" t="s">
        <v>304</v>
      </c>
      <c r="B14" s="18" t="str">
        <f t="shared" si="0"/>
        <v>C</v>
      </c>
      <c r="C14" s="18" t="str">
        <f t="shared" si="1"/>
        <v>D</v>
      </c>
      <c r="D14" s="18" t="str">
        <f t="shared" si="2"/>
        <v>N</v>
      </c>
      <c r="E14" s="18" t="str" cm="1">
        <f t="array" aca="1" ref="E14" ca="1">INDIRECT("Girls!B" &amp; (19 + MATCH(B14,{"A";"B";"C";"D";"E";"F";"G";"H";"I";"J";"K";"L";"M";"N";"O"},0)))</f>
        <v>K1207</v>
      </c>
      <c r="F14" s="18" t="str" cm="1">
        <f t="array" aca="1" ref="F14" ca="1">INDIRECT("Girls!B" &amp; (19 + MATCH(C14,{"A";"B";"C";"D";"E";"F";"G";"H";"I";"J";"K";"L";"M";"N";"O"},0)))</f>
        <v>K1145</v>
      </c>
      <c r="G14" s="18" t="str" cm="1">
        <f t="array" aca="1" ref="G14" ca="1">INDIRECT("Girls!B" &amp; (19 + MATCH(D14,{"A";"B";"C";"D";"E";"F";"G";"H";"I";"J";"K";"L";"M";"N";"O"},0)))</f>
        <v>K0941</v>
      </c>
      <c r="H14" s="20" t="s">
        <v>65</v>
      </c>
      <c r="I14" s="20" t="s">
        <v>375</v>
      </c>
      <c r="J14" s="20" t="s">
        <v>375</v>
      </c>
    </row>
    <row r="15" spans="1:10" ht="22" x14ac:dyDescent="0.3">
      <c r="A15" s="18" t="s">
        <v>305</v>
      </c>
      <c r="B15" s="18" t="str">
        <f t="shared" si="0"/>
        <v>F</v>
      </c>
      <c r="C15" s="18" t="str">
        <f t="shared" si="1"/>
        <v>H</v>
      </c>
      <c r="D15" s="18" t="str">
        <f t="shared" si="2"/>
        <v>L</v>
      </c>
      <c r="E15" s="18" t="str" cm="1">
        <f t="array" aca="1" ref="E15" ca="1">INDIRECT("Girls!B" &amp; (19 + MATCH(B15,{"A";"B";"C";"D";"E";"F";"G";"H";"I";"J";"K";"L";"M";"N";"O"},0)))</f>
        <v>K0645</v>
      </c>
      <c r="F15" s="18" t="str" cm="1">
        <f t="array" aca="1" ref="F15" ca="1">INDIRECT("Girls!B" &amp; (19 + MATCH(C15,{"A";"B";"C";"D";"E";"F";"G";"H";"I";"J";"K";"L";"M";"N";"O"},0)))</f>
        <v>K0807</v>
      </c>
      <c r="G15" s="18" t="str" cm="1">
        <f t="array" aca="1" ref="G15" ca="1">INDIRECT("Girls!B" &amp; (19 + MATCH(D15,{"A";"B";"C";"D";"E";"F";"G";"H";"I";"J";"K";"L";"M";"N";"O"},0)))</f>
        <v>K0710</v>
      </c>
      <c r="H15" s="20" t="s">
        <v>377</v>
      </c>
      <c r="I15" s="20" t="s">
        <v>378</v>
      </c>
      <c r="J15" s="20" t="s">
        <v>35</v>
      </c>
    </row>
    <row r="16" spans="1:10" ht="22" x14ac:dyDescent="0.3">
      <c r="A16" s="18" t="s">
        <v>306</v>
      </c>
      <c r="B16" s="18" t="str">
        <f t="shared" si="0"/>
        <v>G</v>
      </c>
      <c r="C16" s="18" t="str">
        <f t="shared" si="1"/>
        <v>K</v>
      </c>
      <c r="D16" s="18" t="str">
        <f t="shared" si="2"/>
        <v>M</v>
      </c>
      <c r="E16" s="18" t="str" cm="1">
        <f t="array" aca="1" ref="E16" ca="1">INDIRECT("Girls!B" &amp; (19 + MATCH(B16,{"A";"B";"C";"D";"E";"F";"G";"H";"I";"J";"K";"L";"M";"N";"O"},0)))</f>
        <v>K1279</v>
      </c>
      <c r="F16" s="18" t="str" cm="1">
        <f t="array" aca="1" ref="F16" ca="1">INDIRECT("Girls!B" &amp; (19 + MATCH(C16,{"A";"B";"C";"D";"E";"F";"G";"H";"I";"J";"K";"L";"M";"N";"O"},0)))</f>
        <v>K1193</v>
      </c>
      <c r="G16" s="18" t="str" cm="1">
        <f t="array" aca="1" ref="G16" ca="1">INDIRECT("Girls!B" &amp; (19 + MATCH(D16,{"A";"B";"C";"D";"E";"F";"G";"H";"I";"J";"K";"L";"M";"N";"O"},0)))</f>
        <v>K0798</v>
      </c>
      <c r="H16" s="20" t="s">
        <v>22</v>
      </c>
      <c r="I16" s="20" t="s">
        <v>384</v>
      </c>
      <c r="J16" s="20" t="s">
        <v>30</v>
      </c>
    </row>
    <row r="17" spans="1:10" ht="22" x14ac:dyDescent="0.3">
      <c r="A17" s="18" t="s">
        <v>307</v>
      </c>
      <c r="B17" s="18" t="str">
        <f t="shared" si="0"/>
        <v>A</v>
      </c>
      <c r="C17" s="18" t="str">
        <f t="shared" si="1"/>
        <v>I</v>
      </c>
      <c r="D17" s="18" t="str">
        <f t="shared" si="2"/>
        <v>M</v>
      </c>
      <c r="E17" s="18" t="str" cm="1">
        <f t="array" aca="1" ref="E17" ca="1">INDIRECT("Girls!B" &amp; (19 + MATCH(B17,{"A";"B";"C";"D";"E";"F";"G";"H";"I";"J";"K";"L";"M";"N";"O"},0)))</f>
        <v>K1248</v>
      </c>
      <c r="F17" s="18" t="str" cm="1">
        <f t="array" aca="1" ref="F17" ca="1">INDIRECT("Girls!B" &amp; (19 + MATCH(C17,{"A";"B";"C";"D";"E";"F";"G";"H";"I";"J";"K";"L";"M";"N";"O"},0)))</f>
        <v>K0775</v>
      </c>
      <c r="G17" s="18" t="str" cm="1">
        <f t="array" aca="1" ref="G17" ca="1">INDIRECT("Girls!B" &amp; (19 + MATCH(D17,{"A";"B";"C";"D";"E";"F";"G";"H";"I";"J";"K";"L";"M";"N";"O"},0)))</f>
        <v>K0798</v>
      </c>
      <c r="H17" s="20" t="s">
        <v>385</v>
      </c>
      <c r="I17" s="20" t="s">
        <v>379</v>
      </c>
      <c r="J17" s="20" t="s">
        <v>386</v>
      </c>
    </row>
    <row r="18" spans="1:10" ht="22" x14ac:dyDescent="0.3">
      <c r="A18" s="18" t="s">
        <v>308</v>
      </c>
      <c r="B18" s="18" t="str">
        <f t="shared" si="0"/>
        <v>B</v>
      </c>
      <c r="C18" s="18" t="str">
        <f t="shared" si="1"/>
        <v>D</v>
      </c>
      <c r="D18" s="18" t="str">
        <f t="shared" si="2"/>
        <v>L</v>
      </c>
      <c r="E18" s="18" t="str" cm="1">
        <f t="array" aca="1" ref="E18" ca="1">INDIRECT("Girls!B" &amp; (19 + MATCH(B18,{"A";"B";"C";"D";"E";"F";"G";"H";"I";"J";"K";"L";"M";"N";"O"},0)))</f>
        <v>K0829</v>
      </c>
      <c r="F18" s="18" t="str" cm="1">
        <f t="array" aca="1" ref="F18" ca="1">INDIRECT("Girls!B" &amp; (19 + MATCH(C18,{"A";"B";"C";"D";"E";"F";"G";"H";"I";"J";"K";"L";"M";"N";"O"},0)))</f>
        <v>K1145</v>
      </c>
      <c r="G18" s="18" t="str" cm="1">
        <f t="array" aca="1" ref="G18" ca="1">INDIRECT("Girls!B" &amp; (19 + MATCH(D18,{"A";"B";"C";"D";"E";"F";"G";"H";"I";"J";"K";"L";"M";"N";"O"},0)))</f>
        <v>K0710</v>
      </c>
      <c r="H18" s="20" t="s">
        <v>30</v>
      </c>
      <c r="I18" s="20" t="s">
        <v>101</v>
      </c>
      <c r="J18" s="20" t="s">
        <v>387</v>
      </c>
    </row>
    <row r="19" spans="1:10" ht="22" x14ac:dyDescent="0.3">
      <c r="A19" s="18" t="s">
        <v>309</v>
      </c>
      <c r="B19" s="18" t="str">
        <f t="shared" si="0"/>
        <v>C</v>
      </c>
      <c r="C19" s="18" t="str">
        <f t="shared" si="1"/>
        <v>E</v>
      </c>
      <c r="D19" s="18" t="str">
        <f t="shared" si="2"/>
        <v>K</v>
      </c>
      <c r="E19" s="18" t="str" cm="1">
        <f t="array" aca="1" ref="E19" ca="1">INDIRECT("Girls!B" &amp; (19 + MATCH(B19,{"A";"B";"C";"D";"E";"F";"G";"H";"I";"J";"K";"L";"M";"N";"O"},0)))</f>
        <v>K1207</v>
      </c>
      <c r="F19" s="18" t="str" cm="1">
        <f t="array" aca="1" ref="F19" ca="1">INDIRECT("Girls!B" &amp; (19 + MATCH(C19,{"A";"B";"C";"D";"E";"F";"G";"H";"I";"J";"K";"L";"M";"N";"O"},0)))</f>
        <v>K0757</v>
      </c>
      <c r="G19" s="18" t="str" cm="1">
        <f t="array" aca="1" ref="G19" ca="1">INDIRECT("Girls!B" &amp; (19 + MATCH(D19,{"A";"B";"C";"D";"E";"F";"G";"H";"I";"J";"K";"L";"M";"N";"O"},0)))</f>
        <v>K1193</v>
      </c>
      <c r="H19" s="20" t="s">
        <v>388</v>
      </c>
      <c r="I19" s="20" t="s">
        <v>389</v>
      </c>
      <c r="J19" s="20" t="s">
        <v>390</v>
      </c>
    </row>
    <row r="20" spans="1:10" ht="22" x14ac:dyDescent="0.3">
      <c r="A20" s="18" t="s">
        <v>310</v>
      </c>
      <c r="B20" s="18" t="str">
        <f t="shared" si="0"/>
        <v>F</v>
      </c>
      <c r="C20" s="18" t="str">
        <f t="shared" si="1"/>
        <v>G</v>
      </c>
      <c r="D20" s="18" t="str">
        <f t="shared" si="2"/>
        <v>O</v>
      </c>
      <c r="E20" s="18" t="str" cm="1">
        <f t="array" aca="1" ref="E20" ca="1">INDIRECT("Girls!B" &amp; (19 + MATCH(B20,{"A";"B";"C";"D";"E";"F";"G";"H";"I";"J";"K";"L";"M";"N";"O"},0)))</f>
        <v>K0645</v>
      </c>
      <c r="F20" s="18" t="str" cm="1">
        <f t="array" aca="1" ref="F20" ca="1">INDIRECT("Girls!B" &amp; (19 + MATCH(C20,{"A";"B";"C";"D";"E";"F";"G";"H";"I";"J";"K";"L";"M";"N";"O"},0)))</f>
        <v>K1279</v>
      </c>
      <c r="G20" s="18" t="str" cm="1">
        <f t="array" aca="1" ref="G20" ca="1">INDIRECT("Girls!B" &amp; (19 + MATCH(D20,{"A";"B";"C";"D";"E";"F";"G";"H";"I";"J";"K";"L";"M";"N";"O"},0)))</f>
        <v>K1126</v>
      </c>
      <c r="H20" s="20" t="s">
        <v>391</v>
      </c>
      <c r="I20" s="20" t="s">
        <v>392</v>
      </c>
      <c r="J20" s="20" t="s">
        <v>393</v>
      </c>
    </row>
    <row r="21" spans="1:10" ht="22" x14ac:dyDescent="0.3">
      <c r="A21" s="18" t="s">
        <v>311</v>
      </c>
      <c r="B21" s="18" t="str">
        <f t="shared" si="0"/>
        <v>H</v>
      </c>
      <c r="C21" s="18" t="str">
        <f t="shared" si="1"/>
        <v>J</v>
      </c>
      <c r="D21" s="18" t="str">
        <f t="shared" si="2"/>
        <v>N</v>
      </c>
      <c r="E21" s="18" t="str" cm="1">
        <f t="array" aca="1" ref="E21" ca="1">INDIRECT("Girls!B" &amp; (19 + MATCH(B21,{"A";"B";"C";"D";"E";"F";"G";"H";"I";"J";"K";"L";"M";"N";"O"},0)))</f>
        <v>K0807</v>
      </c>
      <c r="F21" s="18" t="str" cm="1">
        <f t="array" aca="1" ref="F21" ca="1">INDIRECT("Girls!B" &amp; (19 + MATCH(C21,{"A";"B";"C";"D";"E";"F";"G";"H";"I";"J";"K";"L";"M";"N";"O"},0)))</f>
        <v>K0713</v>
      </c>
      <c r="G21" s="18" t="str" cm="1">
        <f t="array" aca="1" ref="G21" ca="1">INDIRECT("Girls!B" &amp; (19 + MATCH(D21,{"A";"B";"C";"D";"E";"F";"G";"H";"I";"J";"K";"L";"M";"N";"O"},0)))</f>
        <v>K0941</v>
      </c>
      <c r="H21" s="20" t="s">
        <v>394</v>
      </c>
      <c r="I21" s="20" t="s">
        <v>395</v>
      </c>
      <c r="J21" s="20" t="s">
        <v>111</v>
      </c>
    </row>
    <row r="22" spans="1:10" ht="22" x14ac:dyDescent="0.3">
      <c r="A22" s="18" t="s">
        <v>312</v>
      </c>
      <c r="B22" s="18" t="str">
        <f t="shared" si="0"/>
        <v>A</v>
      </c>
      <c r="C22" s="18" t="str">
        <f t="shared" si="1"/>
        <v>F</v>
      </c>
      <c r="D22" s="18" t="str">
        <f t="shared" si="2"/>
        <v>J</v>
      </c>
      <c r="E22" s="18" t="str" cm="1">
        <f t="array" aca="1" ref="E22" ca="1">INDIRECT("Girls!B" &amp; (19 + MATCH(B22,{"A";"B";"C";"D";"E";"F";"G";"H";"I";"J";"K";"L";"M";"N";"O"},0)))</f>
        <v>K1248</v>
      </c>
      <c r="F22" s="18" t="str" cm="1">
        <f t="array" aca="1" ref="F22" ca="1">INDIRECT("Girls!B" &amp; (19 + MATCH(C22,{"A";"B";"C";"D";"E";"F";"G";"H";"I";"J";"K";"L";"M";"N";"O"},0)))</f>
        <v>K0645</v>
      </c>
      <c r="G22" s="18" t="str" cm="1">
        <f t="array" aca="1" ref="G22" ca="1">INDIRECT("Girls!B" &amp; (19 + MATCH(D22,{"A";"B";"C";"D";"E";"F";"G";"H";"I";"J";"K";"L";"M";"N";"O"},0)))</f>
        <v>K0713</v>
      </c>
      <c r="H22" s="20" t="s">
        <v>399</v>
      </c>
      <c r="I22" s="20" t="s">
        <v>400</v>
      </c>
      <c r="J22" s="20" t="s">
        <v>401</v>
      </c>
    </row>
    <row r="23" spans="1:10" ht="22" x14ac:dyDescent="0.3">
      <c r="A23" s="18" t="s">
        <v>313</v>
      </c>
      <c r="B23" s="18" t="str">
        <f t="shared" si="0"/>
        <v>B</v>
      </c>
      <c r="C23" s="18" t="str">
        <f t="shared" si="1"/>
        <v>K</v>
      </c>
      <c r="D23" s="18" t="str">
        <f t="shared" si="2"/>
        <v>O</v>
      </c>
      <c r="E23" s="18" t="str" cm="1">
        <f t="array" aca="1" ref="E23" ca="1">INDIRECT("Girls!B" &amp; (19 + MATCH(B23,{"A";"B";"C";"D";"E";"F";"G";"H";"I";"J";"K";"L";"M";"N";"O"},0)))</f>
        <v>K0829</v>
      </c>
      <c r="F23" s="18" t="str" cm="1">
        <f t="array" aca="1" ref="F23" ca="1">INDIRECT("Girls!B" &amp; (19 + MATCH(C23,{"A";"B";"C";"D";"E";"F";"G";"H";"I";"J";"K";"L";"M";"N";"O"},0)))</f>
        <v>K1193</v>
      </c>
      <c r="G23" s="18" t="str" cm="1">
        <f t="array" aca="1" ref="G23" ca="1">INDIRECT("Girls!B" &amp; (19 + MATCH(D23,{"A";"B";"C";"D";"E";"F";"G";"H";"I";"J";"K";"L";"M";"N";"O"},0)))</f>
        <v>K1126</v>
      </c>
      <c r="H23" s="20" t="s">
        <v>419</v>
      </c>
      <c r="I23" s="20" t="s">
        <v>420</v>
      </c>
      <c r="J23" s="20" t="s">
        <v>387</v>
      </c>
    </row>
    <row r="24" spans="1:10" ht="22" x14ac:dyDescent="0.3">
      <c r="A24" s="18" t="s">
        <v>314</v>
      </c>
      <c r="B24" s="18" t="str">
        <f t="shared" si="0"/>
        <v>C</v>
      </c>
      <c r="C24" s="18" t="str">
        <f t="shared" ref="C24:C36" si="3">MID(A24,2,1)</f>
        <v>G</v>
      </c>
      <c r="D24" s="18" t="str">
        <f t="shared" ref="D24:D36" si="4">MID(A24,3,1)</f>
        <v>L</v>
      </c>
      <c r="E24" s="18" t="str" cm="1">
        <f t="array" aca="1" ref="E24" ca="1">INDIRECT("Girls!B" &amp; (19 + MATCH(B24,{"A";"B";"C";"D";"E";"F";"G";"H";"I";"J";"K";"L";"M";"N";"O"},0)))</f>
        <v>K1207</v>
      </c>
      <c r="F24" s="18" t="str" cm="1">
        <f t="array" aca="1" ref="F24" ca="1">INDIRECT("Girls!B" &amp; (19 + MATCH(C24,{"A";"B";"C";"D";"E";"F";"G";"H";"I";"J";"K";"L";"M";"N";"O"},0)))</f>
        <v>K1279</v>
      </c>
      <c r="G24" s="18" t="str" cm="1">
        <f t="array" aca="1" ref="G24" ca="1">INDIRECT("Girls!B" &amp; (19 + MATCH(D24,{"A";"B";"C";"D";"E";"F";"G";"H";"I";"J";"K";"L";"M";"N";"O"},0)))</f>
        <v>K0710</v>
      </c>
      <c r="H24" s="20" t="s">
        <v>410</v>
      </c>
      <c r="I24" s="20" t="s">
        <v>411</v>
      </c>
      <c r="J24" s="20" t="s">
        <v>412</v>
      </c>
    </row>
    <row r="25" spans="1:10" ht="22" x14ac:dyDescent="0.3">
      <c r="A25" s="18" t="s">
        <v>315</v>
      </c>
      <c r="B25" s="18" t="str">
        <f t="shared" si="0"/>
        <v>D</v>
      </c>
      <c r="C25" s="18" t="str">
        <f t="shared" si="3"/>
        <v>H</v>
      </c>
      <c r="D25" s="18" t="str">
        <f t="shared" si="4"/>
        <v>M</v>
      </c>
      <c r="E25" s="18" t="str" cm="1">
        <f t="array" aca="1" ref="E25" ca="1">INDIRECT("Girls!B" &amp; (19 + MATCH(B25,{"A";"B";"C";"D";"E";"F";"G";"H";"I";"J";"K";"L";"M";"N";"O"},0)))</f>
        <v>K1145</v>
      </c>
      <c r="F25" s="18" t="str" cm="1">
        <f t="array" aca="1" ref="F25" ca="1">INDIRECT("Girls!B" &amp; (19 + MATCH(C25,{"A";"B";"C";"D";"E";"F";"G";"H";"I";"J";"K";"L";"M";"N";"O"},0)))</f>
        <v>K0807</v>
      </c>
      <c r="G25" s="18" t="str" cm="1">
        <f t="array" aca="1" ref="G25" ca="1">INDIRECT("Girls!B" &amp; (19 + MATCH(D25,{"A";"B";"C";"D";"E";"F";"G";"H";"I";"J";"K";"L";"M";"N";"O"},0)))</f>
        <v>K0798</v>
      </c>
      <c r="H25" s="20" t="s">
        <v>30</v>
      </c>
      <c r="I25" s="20" t="s">
        <v>364</v>
      </c>
      <c r="J25" s="20" t="s">
        <v>22</v>
      </c>
    </row>
    <row r="26" spans="1:10" ht="22" x14ac:dyDescent="0.3">
      <c r="A26" s="18" t="s">
        <v>316</v>
      </c>
      <c r="B26" s="18" t="str">
        <f t="shared" si="0"/>
        <v>E</v>
      </c>
      <c r="C26" s="18" t="str">
        <f t="shared" si="3"/>
        <v>I</v>
      </c>
      <c r="D26" s="18" t="str">
        <f t="shared" si="4"/>
        <v>N</v>
      </c>
      <c r="E26" s="18" t="str" cm="1">
        <f t="array" aca="1" ref="E26" ca="1">INDIRECT("Girls!B" &amp; (19 + MATCH(B26,{"A";"B";"C";"D";"E";"F";"G";"H";"I";"J";"K";"L";"M";"N";"O"},0)))</f>
        <v>K0757</v>
      </c>
      <c r="F26" s="18" t="str" cm="1">
        <f t="array" aca="1" ref="F26" ca="1">INDIRECT("Girls!B" &amp; (19 + MATCH(C26,{"A";"B";"C";"D";"E";"F";"G";"H";"I";"J";"K";"L";"M";"N";"O"},0)))</f>
        <v>K0775</v>
      </c>
      <c r="G26" s="18" t="str" cm="1">
        <f t="array" aca="1" ref="G26" ca="1">INDIRECT("Girls!B" &amp; (19 + MATCH(D26,{"A";"B";"C";"D";"E";"F";"G";"H";"I";"J";"K";"L";"M";"N";"O"},0)))</f>
        <v>K0941</v>
      </c>
      <c r="H26" s="20" t="s">
        <v>116</v>
      </c>
      <c r="I26" s="20" t="s">
        <v>405</v>
      </c>
      <c r="J26" s="20" t="s">
        <v>406</v>
      </c>
    </row>
    <row r="27" spans="1:10" ht="22" x14ac:dyDescent="0.3">
      <c r="A27" s="18" t="s">
        <v>317</v>
      </c>
      <c r="B27" s="18" t="str">
        <f t="shared" si="0"/>
        <v>A</v>
      </c>
      <c r="C27" s="18" t="str">
        <f t="shared" si="3"/>
        <v>H</v>
      </c>
      <c r="D27" s="18" t="str">
        <f t="shared" si="4"/>
        <v>K</v>
      </c>
      <c r="E27" s="18" t="str" cm="1">
        <f t="array" aca="1" ref="E27" ca="1">INDIRECT("Girls!B" &amp; (19 + MATCH(B27,{"A";"B";"C";"D";"E";"F";"G";"H";"I";"J";"K";"L";"M";"N";"O"},0)))</f>
        <v>K1248</v>
      </c>
      <c r="F27" s="18" t="str" cm="1">
        <f t="array" aca="1" ref="F27" ca="1">INDIRECT("Girls!B" &amp; (19 + MATCH(C27,{"A";"B";"C";"D";"E";"F";"G";"H";"I";"J";"K";"L";"M";"N";"O"},0)))</f>
        <v>K0807</v>
      </c>
      <c r="G27" s="18" t="str" cm="1">
        <f t="array" aca="1" ref="G27" ca="1">INDIRECT("Girls!B" &amp; (19 + MATCH(D27,{"A";"B";"C";"D";"E";"F";"G";"H";"I";"J";"K";"L";"M";"N";"O"},0)))</f>
        <v>K1193</v>
      </c>
      <c r="H27" s="20" t="s">
        <v>413</v>
      </c>
      <c r="I27" s="20" t="s">
        <v>414</v>
      </c>
      <c r="J27" s="20" t="s">
        <v>415</v>
      </c>
    </row>
    <row r="28" spans="1:10" ht="22" x14ac:dyDescent="0.3">
      <c r="A28" s="18" t="s">
        <v>318</v>
      </c>
      <c r="B28" s="18" t="str">
        <f t="shared" si="0"/>
        <v>B</v>
      </c>
      <c r="C28" s="18" t="str">
        <f t="shared" si="3"/>
        <v>G</v>
      </c>
      <c r="D28" s="18" t="str">
        <f t="shared" si="4"/>
        <v>N</v>
      </c>
      <c r="E28" s="18" t="str" cm="1">
        <f t="array" aca="1" ref="E28" ca="1">INDIRECT("Girls!B" &amp; (19 + MATCH(B28,{"A";"B";"C";"D";"E";"F";"G";"H";"I";"J";"K";"L";"M";"N";"O"},0)))</f>
        <v>K0829</v>
      </c>
      <c r="F28" s="18" t="str" cm="1">
        <f t="array" aca="1" ref="F28" ca="1">INDIRECT("Girls!B" &amp; (19 + MATCH(C28,{"A";"B";"C";"D";"E";"F";"G";"H";"I";"J";"K";"L";"M";"N";"O"},0)))</f>
        <v>K1279</v>
      </c>
      <c r="G28" s="18" t="str" cm="1">
        <f t="array" aca="1" ref="G28" ca="1">INDIRECT("Girls!B" &amp; (19 + MATCH(D28,{"A";"B";"C";"D";"E";"F";"G";"H";"I";"J";"K";"L";"M";"N";"O"},0)))</f>
        <v>K0941</v>
      </c>
      <c r="H28" s="20" t="s">
        <v>22</v>
      </c>
      <c r="I28" s="20" t="s">
        <v>30</v>
      </c>
      <c r="J28" s="20" t="s">
        <v>101</v>
      </c>
    </row>
    <row r="29" spans="1:10" ht="22" x14ac:dyDescent="0.3">
      <c r="A29" s="18" t="s">
        <v>319</v>
      </c>
      <c r="B29" s="18" t="str">
        <f t="shared" si="0"/>
        <v>C</v>
      </c>
      <c r="C29" s="18" t="str">
        <f t="shared" si="3"/>
        <v>F</v>
      </c>
      <c r="D29" s="18" t="str">
        <f t="shared" si="4"/>
        <v>I</v>
      </c>
      <c r="E29" s="18" t="str" cm="1">
        <f t="array" aca="1" ref="E29" ca="1">INDIRECT("Girls!B" &amp; (19 + MATCH(B29,{"A";"B";"C";"D";"E";"F";"G";"H";"I";"J";"K";"L";"M";"N";"O"},0)))</f>
        <v>K1207</v>
      </c>
      <c r="F29" s="18" t="str" cm="1">
        <f t="array" aca="1" ref="F29" ca="1">INDIRECT("Girls!B" &amp; (19 + MATCH(C29,{"A";"B";"C";"D";"E";"F";"G";"H";"I";"J";"K";"L";"M";"N";"O"},0)))</f>
        <v>K0645</v>
      </c>
      <c r="G29" s="18" t="str" cm="1">
        <f t="array" aca="1" ref="G29" ca="1">INDIRECT("Girls!B" &amp; (19 + MATCH(D29,{"A";"B";"C";"D";"E";"F";"G";"H";"I";"J";"K";"L";"M";"N";"O"},0)))</f>
        <v>K0775</v>
      </c>
      <c r="H29" s="20" t="s">
        <v>407</v>
      </c>
      <c r="I29" s="20" t="s">
        <v>408</v>
      </c>
      <c r="J29" s="20" t="s">
        <v>409</v>
      </c>
    </row>
    <row r="30" spans="1:10" ht="22" x14ac:dyDescent="0.3">
      <c r="A30" s="18" t="s">
        <v>320</v>
      </c>
      <c r="B30" s="18" t="str">
        <f t="shared" si="0"/>
        <v>D</v>
      </c>
      <c r="C30" s="18" t="str">
        <f t="shared" si="3"/>
        <v>J</v>
      </c>
      <c r="D30" s="18" t="str">
        <f t="shared" si="4"/>
        <v>O</v>
      </c>
      <c r="E30" s="18" t="str" cm="1">
        <f t="array" aca="1" ref="E30" ca="1">INDIRECT("Girls!B" &amp; (19 + MATCH(B30,{"A";"B";"C";"D";"E";"F";"G";"H";"I";"J";"K";"L";"M";"N";"O"},0)))</f>
        <v>K1145</v>
      </c>
      <c r="F30" s="18" t="str" cm="1">
        <f t="array" aca="1" ref="F30" ca="1">INDIRECT("Girls!B" &amp; (19 + MATCH(C30,{"A";"B";"C";"D";"E";"F";"G";"H";"I";"J";"K";"L";"M";"N";"O"},0)))</f>
        <v>K0713</v>
      </c>
      <c r="G30" s="18" t="str" cm="1">
        <f t="array" aca="1" ref="G30" ca="1">INDIRECT("Girls!B" &amp; (19 + MATCH(D30,{"A";"B";"C";"D";"E";"F";"G";"H";"I";"J";"K";"L";"M";"N";"O"},0)))</f>
        <v>K1126</v>
      </c>
      <c r="H30" s="20" t="s">
        <v>101</v>
      </c>
      <c r="I30" s="20" t="s">
        <v>363</v>
      </c>
      <c r="J30" s="20" t="s">
        <v>22</v>
      </c>
    </row>
    <row r="31" spans="1:10" ht="22" x14ac:dyDescent="0.3">
      <c r="A31" s="18" t="s">
        <v>321</v>
      </c>
      <c r="B31" s="18" t="str">
        <f t="shared" si="0"/>
        <v>E</v>
      </c>
      <c r="C31" s="18" t="str">
        <f t="shared" si="3"/>
        <v>L</v>
      </c>
      <c r="D31" s="18" t="str">
        <f t="shared" si="4"/>
        <v>M</v>
      </c>
      <c r="E31" s="18" t="str" cm="1">
        <f t="array" aca="1" ref="E31" ca="1">INDIRECT("Girls!B" &amp; (19 + MATCH(B31,{"A";"B";"C";"D";"E";"F";"G";"H";"I";"J";"K";"L";"M";"N";"O"},0)))</f>
        <v>K0757</v>
      </c>
      <c r="F31" s="18" t="str" cm="1">
        <f t="array" aca="1" ref="F31" ca="1">INDIRECT("Girls!B" &amp; (19 + MATCH(C31,{"A";"B";"C";"D";"E";"F";"G";"H";"I";"J";"K";"L";"M";"N";"O"},0)))</f>
        <v>K0710</v>
      </c>
      <c r="G31" s="18" t="str" cm="1">
        <f t="array" aca="1" ref="G31" ca="1">INDIRECT("Girls!B" &amp; (19 + MATCH(D31,{"A";"B";"C";"D";"E";"F";"G";"H";"I";"J";"K";"L";"M";"N";"O"},0)))</f>
        <v>K0798</v>
      </c>
      <c r="H31" s="20" t="s">
        <v>30</v>
      </c>
      <c r="I31" s="20" t="s">
        <v>22</v>
      </c>
      <c r="J31" s="20" t="s">
        <v>65</v>
      </c>
    </row>
    <row r="32" spans="1:10" ht="22" x14ac:dyDescent="0.3">
      <c r="A32" s="18" t="s">
        <v>322</v>
      </c>
      <c r="B32" s="18" t="str">
        <f t="shared" si="0"/>
        <v>A</v>
      </c>
      <c r="C32" s="18" t="str">
        <f t="shared" si="3"/>
        <v>L</v>
      </c>
      <c r="D32" s="18" t="str">
        <f t="shared" si="4"/>
        <v>N</v>
      </c>
      <c r="E32" s="18" t="str" cm="1">
        <f t="array" aca="1" ref="E32" ca="1">INDIRECT("Girls!B" &amp; (19 + MATCH(B32,{"A";"B";"C";"D";"E";"F";"G";"H";"I";"J";"K";"L";"M";"N";"O"},0)))</f>
        <v>K1248</v>
      </c>
      <c r="F32" s="18" t="str" cm="1">
        <f t="array" aca="1" ref="F32" ca="1">INDIRECT("Girls!B" &amp; (19 + MATCH(C32,{"A";"B";"C";"D";"E";"F";"G";"H";"I";"J";"K";"L";"M";"N";"O"},0)))</f>
        <v>K0710</v>
      </c>
      <c r="G32" s="18" t="str" cm="1">
        <f t="array" aca="1" ref="G32" ca="1">INDIRECT("Girls!B" &amp; (19 + MATCH(D32,{"A";"B";"C";"D";"E";"F";"G";"H";"I";"J";"K";"L";"M";"N";"O"},0)))</f>
        <v>K0941</v>
      </c>
      <c r="H32" s="20" t="s">
        <v>421</v>
      </c>
      <c r="I32" s="20" t="s">
        <v>422</v>
      </c>
      <c r="J32" s="20" t="s">
        <v>381</v>
      </c>
    </row>
    <row r="33" spans="1:10" ht="22" x14ac:dyDescent="0.3">
      <c r="A33" s="18" t="s">
        <v>323</v>
      </c>
      <c r="B33" s="18" t="str">
        <f t="shared" si="0"/>
        <v>B</v>
      </c>
      <c r="C33" s="18" t="str">
        <f t="shared" si="3"/>
        <v>F</v>
      </c>
      <c r="D33" s="18" t="str">
        <f t="shared" si="4"/>
        <v>M</v>
      </c>
      <c r="E33" s="18" t="str" cm="1">
        <f t="array" aca="1" ref="E33" ca="1">INDIRECT("Girls!B" &amp; (19 + MATCH(B33,{"A";"B";"C";"D";"E";"F";"G";"H";"I";"J";"K";"L";"M";"N";"O"},0)))</f>
        <v>K0829</v>
      </c>
      <c r="F33" s="18" t="str" cm="1">
        <f t="array" aca="1" ref="F33" ca="1">INDIRECT("Girls!B" &amp; (19 + MATCH(C33,{"A";"B";"C";"D";"E";"F";"G";"H";"I";"J";"K";"L";"M";"N";"O"},0)))</f>
        <v>K0645</v>
      </c>
      <c r="G33" s="18" t="str" cm="1">
        <f t="array" aca="1" ref="G33" ca="1">INDIRECT("Girls!B" &amp; (19 + MATCH(D33,{"A";"B";"C";"D";"E";"F";"G";"H";"I";"J";"K";"L";"M";"N";"O"},0)))</f>
        <v>K0798</v>
      </c>
      <c r="H33" s="20" t="s">
        <v>362</v>
      </c>
      <c r="I33" s="20" t="s">
        <v>362</v>
      </c>
      <c r="J33" s="20" t="s">
        <v>362</v>
      </c>
    </row>
    <row r="34" spans="1:10" ht="22" x14ac:dyDescent="0.3">
      <c r="A34" s="18" t="s">
        <v>324</v>
      </c>
      <c r="B34" s="18" t="str">
        <f t="shared" si="0"/>
        <v>C</v>
      </c>
      <c r="C34" s="18" t="str">
        <f t="shared" si="3"/>
        <v>H</v>
      </c>
      <c r="D34" s="18" t="str">
        <f t="shared" si="4"/>
        <v>O</v>
      </c>
      <c r="E34" s="18" t="str" cm="1">
        <f t="array" aca="1" ref="E34" ca="1">INDIRECT("Girls!B" &amp; (19 + MATCH(B34,{"A";"B";"C";"D";"E";"F";"G";"H";"I";"J";"K";"L";"M";"N";"O"},0)))</f>
        <v>K1207</v>
      </c>
      <c r="F34" s="18" t="str" cm="1">
        <f t="array" aca="1" ref="F34" ca="1">INDIRECT("Girls!B" &amp; (19 + MATCH(C34,{"A";"B";"C";"D";"E";"F";"G";"H";"I";"J";"K";"L";"M";"N";"O"},0)))</f>
        <v>K0807</v>
      </c>
      <c r="G34" s="18" t="str" cm="1">
        <f t="array" aca="1" ref="G34" ca="1">INDIRECT("Girls!B" &amp; (19 + MATCH(D34,{"A";"B";"C";"D";"E";"F";"G";"H";"I";"J";"K";"L";"M";"N";"O"},0)))</f>
        <v>K1126</v>
      </c>
      <c r="H34" s="20" t="s">
        <v>362</v>
      </c>
      <c r="I34" s="20" t="s">
        <v>362</v>
      </c>
      <c r="J34" s="20" t="s">
        <v>362</v>
      </c>
    </row>
    <row r="35" spans="1:10" ht="22" x14ac:dyDescent="0.3">
      <c r="A35" s="18" t="s">
        <v>325</v>
      </c>
      <c r="B35" s="18" t="str">
        <f t="shared" si="0"/>
        <v>D</v>
      </c>
      <c r="C35" s="18" t="str">
        <f t="shared" si="3"/>
        <v>I</v>
      </c>
      <c r="D35" s="18" t="str">
        <f t="shared" si="4"/>
        <v>K</v>
      </c>
      <c r="E35" s="18" t="str" cm="1">
        <f t="array" aca="1" ref="E35" ca="1">INDIRECT("Girls!B" &amp; (19 + MATCH(B35,{"A";"B";"C";"D";"E";"F";"G";"H";"I";"J";"K";"L";"M";"N";"O"},0)))</f>
        <v>K1145</v>
      </c>
      <c r="F35" s="18" t="str" cm="1">
        <f t="array" aca="1" ref="F35" ca="1">INDIRECT("Girls!B" &amp; (19 + MATCH(C35,{"A";"B";"C";"D";"E";"F";"G";"H";"I";"J";"K";"L";"M";"N";"O"},0)))</f>
        <v>K0775</v>
      </c>
      <c r="G35" s="18" t="str" cm="1">
        <f t="array" aca="1" ref="G35" ca="1">INDIRECT("Girls!B" &amp; (19 + MATCH(D35,{"A";"B";"C";"D";"E";"F";"G";"H";"I";"J";"K";"L";"M";"N";"O"},0)))</f>
        <v>K1193</v>
      </c>
      <c r="H35" s="20" t="s">
        <v>402</v>
      </c>
      <c r="I35" s="20" t="s">
        <v>403</v>
      </c>
      <c r="J35" s="20" t="s">
        <v>404</v>
      </c>
    </row>
    <row r="36" spans="1:10" ht="22" x14ac:dyDescent="0.3">
      <c r="A36" s="18" t="s">
        <v>326</v>
      </c>
      <c r="B36" s="18" t="str">
        <f t="shared" si="0"/>
        <v>E</v>
      </c>
      <c r="C36" s="18" t="str">
        <f t="shared" si="3"/>
        <v>G</v>
      </c>
      <c r="D36" s="18" t="str">
        <f t="shared" si="4"/>
        <v>J</v>
      </c>
      <c r="E36" s="18" t="str" cm="1">
        <f t="array" aca="1" ref="E36" ca="1">INDIRECT("Girls!B" &amp; (19 + MATCH(B36,{"A";"B";"C";"D";"E";"F";"G";"H";"I";"J";"K";"L";"M";"N";"O"},0)))</f>
        <v>K0757</v>
      </c>
      <c r="F36" s="18" t="str" cm="1">
        <f t="array" aca="1" ref="F36" ca="1">INDIRECT("Girls!B" &amp; (19 + MATCH(C36,{"A";"B";"C";"D";"E";"F";"G";"H";"I";"J";"K";"L";"M";"N";"O"},0)))</f>
        <v>K1279</v>
      </c>
      <c r="G36" s="18" t="str" cm="1">
        <f t="array" aca="1" ref="G36" ca="1">INDIRECT("Girls!B" &amp; (19 + MATCH(D36,{"A";"B";"C";"D";"E";"F";"G";"H";"I";"J";"K";"L";"M";"N";"O"},0)))</f>
        <v>K0713</v>
      </c>
      <c r="H36" s="20" t="s">
        <v>416</v>
      </c>
      <c r="I36" s="20" t="s">
        <v>417</v>
      </c>
      <c r="J36" s="20" t="s">
        <v>418</v>
      </c>
    </row>
    <row r="37" spans="1:10" ht="22" x14ac:dyDescent="0.3">
      <c r="A37" s="18" t="s">
        <v>292</v>
      </c>
      <c r="B37" s="18" t="str">
        <f>LEFT(A37, 1)</f>
        <v>A</v>
      </c>
      <c r="C37" s="18" t="str">
        <f>MID(A37,2,1)</f>
        <v>B</v>
      </c>
      <c r="D37" s="18" t="str">
        <f>MID(A37,3,1)</f>
        <v>C</v>
      </c>
      <c r="E37" s="18" t="str" cm="1">
        <f t="array" aca="1" ref="E37" ca="1">INDIRECT("Girls!B" &amp; (19 + MATCH(B37,{"A";"B";"C";"D";"E";"F";"G";"H";"I";"J";"K";"L";"M";"N";"O"},0)))</f>
        <v>K1248</v>
      </c>
      <c r="F37" s="18" t="str" cm="1">
        <f t="array" aca="1" ref="F37" ca="1">INDIRECT("Girls!B" &amp; (19 + MATCH(C37,{"A";"B";"C";"D";"E";"F";"G";"H";"I";"J";"K";"L";"M";"N";"O"},0)))</f>
        <v>K0829</v>
      </c>
      <c r="G37" s="18" t="str" cm="1">
        <f t="array" aca="1" ref="G37" ca="1">INDIRECT("Girls!B" &amp; (19 + MATCH(D37,{"A";"B";"C";"D";"E";"F";"G";"H";"I";"J";"K";"L";"M";"N";"O"},0)))</f>
        <v>K1207</v>
      </c>
      <c r="H37" s="20" t="s">
        <v>365</v>
      </c>
      <c r="I37" s="20" t="s">
        <v>366</v>
      </c>
      <c r="J37" s="20" t="s">
        <v>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02999-87B1-9848-8BE8-6186C1890801}">
  <dimension ref="A1:A70"/>
  <sheetViews>
    <sheetView topLeftCell="A57" workbookViewId="0">
      <selection activeCell="C65" sqref="C65"/>
    </sheetView>
  </sheetViews>
  <sheetFormatPr baseColWidth="10" defaultRowHeight="16" x14ac:dyDescent="0.2"/>
  <cols>
    <col min="1" max="1" width="87" customWidth="1"/>
  </cols>
  <sheetData>
    <row r="1" spans="1:1" ht="34" x14ac:dyDescent="0.2">
      <c r="A1" s="16" t="s">
        <v>229</v>
      </c>
    </row>
    <row r="2" spans="1:1" ht="17" x14ac:dyDescent="0.2">
      <c r="A2" s="16" t="s">
        <v>230</v>
      </c>
    </row>
    <row r="3" spans="1:1" ht="51" x14ac:dyDescent="0.2">
      <c r="A3" s="16" t="s">
        <v>231</v>
      </c>
    </row>
    <row r="4" spans="1:1" ht="34" x14ac:dyDescent="0.2">
      <c r="A4" s="16" t="s">
        <v>232</v>
      </c>
    </row>
    <row r="5" spans="1:1" ht="68" x14ac:dyDescent="0.2">
      <c r="A5" s="16" t="s">
        <v>233</v>
      </c>
    </row>
    <row r="6" spans="1:1" ht="85" x14ac:dyDescent="0.2">
      <c r="A6" s="16" t="s">
        <v>234</v>
      </c>
    </row>
    <row r="7" spans="1:1" ht="68" x14ac:dyDescent="0.2">
      <c r="A7" s="16" t="s">
        <v>235</v>
      </c>
    </row>
    <row r="8" spans="1:1" ht="51" x14ac:dyDescent="0.2">
      <c r="A8" s="16" t="s">
        <v>236</v>
      </c>
    </row>
    <row r="9" spans="1:1" ht="17" x14ac:dyDescent="0.2">
      <c r="A9" s="16" t="s">
        <v>230</v>
      </c>
    </row>
    <row r="10" spans="1:1" ht="153" x14ac:dyDescent="0.2">
      <c r="A10" s="16" t="s">
        <v>237</v>
      </c>
    </row>
    <row r="11" spans="1:1" ht="34" x14ac:dyDescent="0.2">
      <c r="A11" s="16" t="s">
        <v>238</v>
      </c>
    </row>
    <row r="12" spans="1:1" ht="85" x14ac:dyDescent="0.2">
      <c r="A12" s="16" t="s">
        <v>239</v>
      </c>
    </row>
    <row r="13" spans="1:1" ht="51" x14ac:dyDescent="0.2">
      <c r="A13" s="16" t="s">
        <v>240</v>
      </c>
    </row>
    <row r="14" spans="1:1" ht="51" x14ac:dyDescent="0.2">
      <c r="A14" s="16" t="s">
        <v>241</v>
      </c>
    </row>
    <row r="15" spans="1:1" ht="85" x14ac:dyDescent="0.2">
      <c r="A15" s="16" t="s">
        <v>242</v>
      </c>
    </row>
    <row r="16" spans="1:1" ht="136" x14ac:dyDescent="0.2">
      <c r="A16" s="16" t="s">
        <v>243</v>
      </c>
    </row>
    <row r="17" spans="1:1" ht="68" x14ac:dyDescent="0.2">
      <c r="A17" s="16" t="s">
        <v>244</v>
      </c>
    </row>
    <row r="18" spans="1:1" ht="17" x14ac:dyDescent="0.2">
      <c r="A18" s="16" t="s">
        <v>230</v>
      </c>
    </row>
    <row r="19" spans="1:1" ht="102" x14ac:dyDescent="0.2">
      <c r="A19" s="16" t="s">
        <v>245</v>
      </c>
    </row>
    <row r="20" spans="1:1" ht="51" x14ac:dyDescent="0.2">
      <c r="A20" s="16" t="s">
        <v>246</v>
      </c>
    </row>
    <row r="21" spans="1:1" ht="68" x14ac:dyDescent="0.2">
      <c r="A21" s="16" t="s">
        <v>247</v>
      </c>
    </row>
    <row r="22" spans="1:1" ht="68" x14ac:dyDescent="0.2">
      <c r="A22" s="16" t="s">
        <v>248</v>
      </c>
    </row>
    <row r="23" spans="1:1" ht="34" x14ac:dyDescent="0.2">
      <c r="A23" s="16" t="s">
        <v>249</v>
      </c>
    </row>
    <row r="24" spans="1:1" ht="34" x14ac:dyDescent="0.2">
      <c r="A24" s="16" t="s">
        <v>250</v>
      </c>
    </row>
    <row r="25" spans="1:1" ht="68" x14ac:dyDescent="0.2">
      <c r="A25" s="16" t="s">
        <v>251</v>
      </c>
    </row>
    <row r="26" spans="1:1" ht="17" x14ac:dyDescent="0.2">
      <c r="A26" s="16" t="s">
        <v>230</v>
      </c>
    </row>
    <row r="27" spans="1:1" ht="85" x14ac:dyDescent="0.2">
      <c r="A27" s="16" t="s">
        <v>252</v>
      </c>
    </row>
    <row r="28" spans="1:1" ht="51" x14ac:dyDescent="0.2">
      <c r="A28" s="16" t="s">
        <v>253</v>
      </c>
    </row>
    <row r="29" spans="1:1" ht="51" x14ac:dyDescent="0.2">
      <c r="A29" s="16" t="s">
        <v>254</v>
      </c>
    </row>
    <row r="30" spans="1:1" ht="68" x14ac:dyDescent="0.2">
      <c r="A30" s="16" t="s">
        <v>255</v>
      </c>
    </row>
    <row r="31" spans="1:1" ht="51" x14ac:dyDescent="0.2">
      <c r="A31" s="16" t="s">
        <v>256</v>
      </c>
    </row>
    <row r="32" spans="1:1" ht="34" x14ac:dyDescent="0.2">
      <c r="A32" s="16" t="s">
        <v>257</v>
      </c>
    </row>
    <row r="33" spans="1:1" ht="17" x14ac:dyDescent="0.2">
      <c r="A33" s="16" t="s">
        <v>230</v>
      </c>
    </row>
    <row r="34" spans="1:1" ht="34" x14ac:dyDescent="0.2">
      <c r="A34" s="16" t="s">
        <v>258</v>
      </c>
    </row>
    <row r="35" spans="1:1" ht="34" x14ac:dyDescent="0.2">
      <c r="A35" s="16" t="s">
        <v>259</v>
      </c>
    </row>
    <row r="36" spans="1:1" ht="51" x14ac:dyDescent="0.2">
      <c r="A36" s="16" t="s">
        <v>260</v>
      </c>
    </row>
    <row r="37" spans="1:1" ht="34" x14ac:dyDescent="0.2">
      <c r="A37" s="16" t="s">
        <v>261</v>
      </c>
    </row>
    <row r="38" spans="1:1" ht="34" x14ac:dyDescent="0.2">
      <c r="A38" s="16" t="s">
        <v>262</v>
      </c>
    </row>
    <row r="39" spans="1:1" ht="17" x14ac:dyDescent="0.2">
      <c r="A39" s="16" t="s">
        <v>263</v>
      </c>
    </row>
    <row r="40" spans="1:1" ht="34" x14ac:dyDescent="0.2">
      <c r="A40" s="16" t="s">
        <v>264</v>
      </c>
    </row>
    <row r="41" spans="1:1" ht="51" x14ac:dyDescent="0.2">
      <c r="A41" s="16" t="s">
        <v>265</v>
      </c>
    </row>
    <row r="42" spans="1:1" ht="34" x14ac:dyDescent="0.2">
      <c r="A42" s="16" t="s">
        <v>266</v>
      </c>
    </row>
    <row r="43" spans="1:1" ht="17" x14ac:dyDescent="0.2">
      <c r="A43" s="16" t="s">
        <v>230</v>
      </c>
    </row>
    <row r="44" spans="1:1" ht="51" x14ac:dyDescent="0.2">
      <c r="A44" s="16" t="s">
        <v>267</v>
      </c>
    </row>
    <row r="45" spans="1:1" ht="51" x14ac:dyDescent="0.2">
      <c r="A45" s="16" t="s">
        <v>268</v>
      </c>
    </row>
    <row r="46" spans="1:1" ht="68" x14ac:dyDescent="0.2">
      <c r="A46" s="16" t="s">
        <v>269</v>
      </c>
    </row>
    <row r="47" spans="1:1" ht="85" x14ac:dyDescent="0.2">
      <c r="A47" s="16" t="s">
        <v>270</v>
      </c>
    </row>
    <row r="48" spans="1:1" ht="68" x14ac:dyDescent="0.2">
      <c r="A48" s="16" t="s">
        <v>271</v>
      </c>
    </row>
    <row r="49" spans="1:1" ht="68" x14ac:dyDescent="0.2">
      <c r="A49" s="16" t="s">
        <v>272</v>
      </c>
    </row>
    <row r="50" spans="1:1" ht="17" x14ac:dyDescent="0.2">
      <c r="A50" s="16" t="s">
        <v>230</v>
      </c>
    </row>
    <row r="51" spans="1:1" ht="51" x14ac:dyDescent="0.2">
      <c r="A51" s="16" t="s">
        <v>273</v>
      </c>
    </row>
    <row r="52" spans="1:1" ht="68" x14ac:dyDescent="0.2">
      <c r="A52" s="16" t="s">
        <v>274</v>
      </c>
    </row>
    <row r="53" spans="1:1" ht="68" x14ac:dyDescent="0.2">
      <c r="A53" s="16" t="s">
        <v>275</v>
      </c>
    </row>
    <row r="54" spans="1:1" ht="51" x14ac:dyDescent="0.2">
      <c r="A54" s="16" t="s">
        <v>276</v>
      </c>
    </row>
    <row r="55" spans="1:1" ht="34" x14ac:dyDescent="0.2">
      <c r="A55" s="16" t="s">
        <v>277</v>
      </c>
    </row>
    <row r="56" spans="1:1" ht="17" x14ac:dyDescent="0.2">
      <c r="A56" s="16" t="s">
        <v>230</v>
      </c>
    </row>
    <row r="57" spans="1:1" ht="51" x14ac:dyDescent="0.2">
      <c r="A57" s="16" t="s">
        <v>278</v>
      </c>
    </row>
    <row r="58" spans="1:1" ht="17" x14ac:dyDescent="0.2">
      <c r="A58" s="16" t="s">
        <v>279</v>
      </c>
    </row>
    <row r="59" spans="1:1" ht="34" x14ac:dyDescent="0.2">
      <c r="A59" s="16" t="s">
        <v>280</v>
      </c>
    </row>
    <row r="60" spans="1:1" ht="34" x14ac:dyDescent="0.2">
      <c r="A60" s="16" t="s">
        <v>281</v>
      </c>
    </row>
    <row r="61" spans="1:1" ht="17" x14ac:dyDescent="0.2">
      <c r="A61" s="16" t="s">
        <v>282</v>
      </c>
    </row>
    <row r="62" spans="1:1" ht="51" x14ac:dyDescent="0.2">
      <c r="A62" s="16" t="s">
        <v>283</v>
      </c>
    </row>
    <row r="63" spans="1:1" ht="17" x14ac:dyDescent="0.2">
      <c r="A63" s="16" t="s">
        <v>284</v>
      </c>
    </row>
    <row r="64" spans="1:1" ht="34" x14ac:dyDescent="0.2">
      <c r="A64" s="16" t="s">
        <v>285</v>
      </c>
    </row>
    <row r="65" spans="1:1" ht="34" x14ac:dyDescent="0.2">
      <c r="A65" s="16" t="s">
        <v>286</v>
      </c>
    </row>
    <row r="66" spans="1:1" ht="68" x14ac:dyDescent="0.2">
      <c r="A66" s="16" t="s">
        <v>287</v>
      </c>
    </row>
    <row r="67" spans="1:1" ht="51" x14ac:dyDescent="0.2">
      <c r="A67" s="16" t="s">
        <v>288</v>
      </c>
    </row>
    <row r="68" spans="1:1" ht="51" x14ac:dyDescent="0.2">
      <c r="A68" s="16" t="s">
        <v>289</v>
      </c>
    </row>
    <row r="69" spans="1:1" ht="17" x14ac:dyDescent="0.2">
      <c r="A69" s="16" t="s">
        <v>290</v>
      </c>
    </row>
    <row r="70" spans="1:1" ht="34" x14ac:dyDescent="0.2">
      <c r="A70" s="16" t="s">
        <v>291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A4AD-A863-A94D-8584-F4A64145CF92}">
  <dimension ref="A1:D51"/>
  <sheetViews>
    <sheetView workbookViewId="0">
      <selection activeCell="I28" sqref="I28"/>
    </sheetView>
  </sheetViews>
  <sheetFormatPr baseColWidth="10" defaultRowHeight="16" x14ac:dyDescent="0.2"/>
  <cols>
    <col min="3" max="3" width="14" customWidth="1"/>
    <col min="4" max="4" width="13.1640625" customWidth="1"/>
  </cols>
  <sheetData>
    <row r="1" spans="1:4" x14ac:dyDescent="0.2">
      <c r="A1" t="s">
        <v>0</v>
      </c>
      <c r="B1" t="s">
        <v>1</v>
      </c>
      <c r="C1" t="s">
        <v>19</v>
      </c>
      <c r="D1" t="s">
        <v>140</v>
      </c>
    </row>
    <row r="2" spans="1:4" x14ac:dyDescent="0.2">
      <c r="A2" t="s">
        <v>20</v>
      </c>
      <c r="B2" t="s">
        <v>21</v>
      </c>
      <c r="C2">
        <v>7</v>
      </c>
    </row>
    <row r="3" spans="1:4" x14ac:dyDescent="0.2">
      <c r="A3" t="s">
        <v>23</v>
      </c>
      <c r="B3" t="s">
        <v>24</v>
      </c>
      <c r="C3">
        <v>6</v>
      </c>
    </row>
    <row r="4" spans="1:4" x14ac:dyDescent="0.2">
      <c r="A4" t="s">
        <v>26</v>
      </c>
      <c r="B4" t="s">
        <v>27</v>
      </c>
      <c r="C4">
        <v>7</v>
      </c>
    </row>
    <row r="5" spans="1:4" x14ac:dyDescent="0.2">
      <c r="A5" t="s">
        <v>28</v>
      </c>
      <c r="B5" t="s">
        <v>29</v>
      </c>
      <c r="C5">
        <v>5</v>
      </c>
    </row>
    <row r="6" spans="1:4" x14ac:dyDescent="0.2">
      <c r="A6" t="s">
        <v>31</v>
      </c>
      <c r="B6" t="s">
        <v>32</v>
      </c>
      <c r="C6">
        <v>0</v>
      </c>
    </row>
    <row r="7" spans="1:4" x14ac:dyDescent="0.2">
      <c r="A7" t="s">
        <v>33</v>
      </c>
      <c r="B7" t="s">
        <v>34</v>
      </c>
      <c r="C7" t="s">
        <v>35</v>
      </c>
    </row>
    <row r="8" spans="1:4" x14ac:dyDescent="0.2">
      <c r="A8" t="s">
        <v>36</v>
      </c>
      <c r="B8" t="s">
        <v>37</v>
      </c>
      <c r="C8">
        <v>4</v>
      </c>
    </row>
    <row r="9" spans="1:4" x14ac:dyDescent="0.2">
      <c r="A9" t="s">
        <v>38</v>
      </c>
      <c r="B9" t="s">
        <v>39</v>
      </c>
      <c r="C9">
        <v>0</v>
      </c>
    </row>
    <row r="10" spans="1:4" x14ac:dyDescent="0.2">
      <c r="A10" t="s">
        <v>41</v>
      </c>
      <c r="B10" t="s">
        <v>42</v>
      </c>
      <c r="C10">
        <v>5</v>
      </c>
    </row>
    <row r="11" spans="1:4" x14ac:dyDescent="0.2">
      <c r="A11" t="s">
        <v>43</v>
      </c>
      <c r="B11" t="s">
        <v>44</v>
      </c>
      <c r="C11">
        <v>0</v>
      </c>
    </row>
    <row r="12" spans="1:4" x14ac:dyDescent="0.2">
      <c r="A12" t="s">
        <v>45</v>
      </c>
      <c r="B12" t="s">
        <v>46</v>
      </c>
      <c r="C12">
        <v>0</v>
      </c>
    </row>
    <row r="13" spans="1:4" x14ac:dyDescent="0.2">
      <c r="A13" t="s">
        <v>47</v>
      </c>
      <c r="B13" t="s">
        <v>48</v>
      </c>
      <c r="C13">
        <v>0</v>
      </c>
    </row>
    <row r="14" spans="1:4" x14ac:dyDescent="0.2">
      <c r="A14" t="s">
        <v>50</v>
      </c>
      <c r="B14" t="s">
        <v>51</v>
      </c>
      <c r="C14">
        <v>0</v>
      </c>
    </row>
    <row r="15" spans="1:4" x14ac:dyDescent="0.2">
      <c r="A15" t="s">
        <v>52</v>
      </c>
      <c r="B15" t="s">
        <v>53</v>
      </c>
      <c r="C15">
        <v>0</v>
      </c>
    </row>
    <row r="16" spans="1:4" x14ac:dyDescent="0.2">
      <c r="A16" t="s">
        <v>54</v>
      </c>
      <c r="B16" t="s">
        <v>55</v>
      </c>
      <c r="C16">
        <v>0</v>
      </c>
    </row>
    <row r="17" spans="1:4" x14ac:dyDescent="0.2">
      <c r="A17" t="s">
        <v>56</v>
      </c>
      <c r="B17" t="s">
        <v>57</v>
      </c>
      <c r="C17">
        <v>0</v>
      </c>
    </row>
    <row r="18" spans="1:4" x14ac:dyDescent="0.2">
      <c r="A18" t="s">
        <v>59</v>
      </c>
      <c r="B18" t="s">
        <v>60</v>
      </c>
      <c r="C18">
        <v>0</v>
      </c>
    </row>
    <row r="19" spans="1:4" x14ac:dyDescent="0.2">
      <c r="A19" t="s">
        <v>61</v>
      </c>
      <c r="B19" t="s">
        <v>62</v>
      </c>
      <c r="C19">
        <v>0</v>
      </c>
    </row>
    <row r="20" spans="1:4" x14ac:dyDescent="0.2">
      <c r="A20" t="s">
        <v>63</v>
      </c>
      <c r="B20" t="s">
        <v>64</v>
      </c>
      <c r="C20">
        <v>2</v>
      </c>
    </row>
    <row r="21" spans="1:4" x14ac:dyDescent="0.2">
      <c r="A21" t="s">
        <v>66</v>
      </c>
      <c r="B21" t="s">
        <v>67</v>
      </c>
      <c r="C21">
        <v>5</v>
      </c>
    </row>
    <row r="22" spans="1:4" x14ac:dyDescent="0.2">
      <c r="A22" t="s">
        <v>68</v>
      </c>
      <c r="B22" t="s">
        <v>69</v>
      </c>
      <c r="C22">
        <v>0</v>
      </c>
    </row>
    <row r="23" spans="1:4" x14ac:dyDescent="0.2">
      <c r="A23" t="s">
        <v>70</v>
      </c>
      <c r="B23" t="s">
        <v>71</v>
      </c>
      <c r="C23">
        <v>5</v>
      </c>
    </row>
    <row r="24" spans="1:4" x14ac:dyDescent="0.2">
      <c r="A24" t="s">
        <v>73</v>
      </c>
      <c r="B24" t="s">
        <v>74</v>
      </c>
      <c r="C24">
        <v>5</v>
      </c>
    </row>
    <row r="25" spans="1:4" x14ac:dyDescent="0.2">
      <c r="A25" t="s">
        <v>75</v>
      </c>
      <c r="B25" t="s">
        <v>76</v>
      </c>
      <c r="C25">
        <v>5</v>
      </c>
    </row>
    <row r="26" spans="1:4" x14ac:dyDescent="0.2">
      <c r="A26" t="s">
        <v>77</v>
      </c>
      <c r="B26" t="s">
        <v>78</v>
      </c>
      <c r="C26">
        <v>7</v>
      </c>
    </row>
    <row r="27" spans="1:4" x14ac:dyDescent="0.2">
      <c r="A27" t="s">
        <v>80</v>
      </c>
      <c r="B27" t="s">
        <v>81</v>
      </c>
      <c r="C27">
        <v>1</v>
      </c>
    </row>
    <row r="28" spans="1:4" x14ac:dyDescent="0.2">
      <c r="A28" t="s">
        <v>83</v>
      </c>
      <c r="B28" t="s">
        <v>84</v>
      </c>
      <c r="C28">
        <v>0</v>
      </c>
    </row>
    <row r="29" spans="1:4" x14ac:dyDescent="0.2">
      <c r="A29" t="s">
        <v>86</v>
      </c>
      <c r="B29" t="s">
        <v>87</v>
      </c>
      <c r="C29">
        <v>0</v>
      </c>
      <c r="D29" t="s">
        <v>160</v>
      </c>
    </row>
    <row r="30" spans="1:4" x14ac:dyDescent="0.2">
      <c r="A30" t="s">
        <v>88</v>
      </c>
      <c r="B30" t="s">
        <v>89</v>
      </c>
      <c r="C30">
        <v>7</v>
      </c>
    </row>
    <row r="31" spans="1:4" x14ac:dyDescent="0.2">
      <c r="A31" t="s">
        <v>90</v>
      </c>
      <c r="B31" t="s">
        <v>91</v>
      </c>
      <c r="C31">
        <v>5</v>
      </c>
    </row>
    <row r="32" spans="1:4" x14ac:dyDescent="0.2">
      <c r="A32" t="s">
        <v>93</v>
      </c>
      <c r="B32" t="s">
        <v>94</v>
      </c>
      <c r="C32">
        <v>5</v>
      </c>
    </row>
    <row r="33" spans="1:3" x14ac:dyDescent="0.2">
      <c r="A33" t="s">
        <v>95</v>
      </c>
      <c r="B33" t="s">
        <v>96</v>
      </c>
      <c r="C33">
        <v>0</v>
      </c>
    </row>
    <row r="34" spans="1:3" x14ac:dyDescent="0.2">
      <c r="A34" t="s">
        <v>97</v>
      </c>
      <c r="B34" t="s">
        <v>98</v>
      </c>
      <c r="C34">
        <v>7</v>
      </c>
    </row>
    <row r="35" spans="1:3" x14ac:dyDescent="0.2">
      <c r="A35" t="s">
        <v>99</v>
      </c>
      <c r="B35" t="s">
        <v>100</v>
      </c>
      <c r="C35">
        <v>1</v>
      </c>
    </row>
    <row r="36" spans="1:3" x14ac:dyDescent="0.2">
      <c r="A36" t="s">
        <v>102</v>
      </c>
      <c r="B36" t="s">
        <v>103</v>
      </c>
      <c r="C36">
        <v>4</v>
      </c>
    </row>
    <row r="37" spans="1:3" x14ac:dyDescent="0.2">
      <c r="A37" t="s">
        <v>104</v>
      </c>
      <c r="B37" t="s">
        <v>105</v>
      </c>
      <c r="C37">
        <v>7</v>
      </c>
    </row>
    <row r="38" spans="1:3" x14ac:dyDescent="0.2">
      <c r="A38" t="s">
        <v>106</v>
      </c>
      <c r="B38" t="s">
        <v>107</v>
      </c>
      <c r="C38">
        <v>4</v>
      </c>
    </row>
    <row r="39" spans="1:3" x14ac:dyDescent="0.2">
      <c r="A39" t="s">
        <v>109</v>
      </c>
      <c r="B39" t="s">
        <v>110</v>
      </c>
      <c r="C39">
        <v>6</v>
      </c>
    </row>
    <row r="40" spans="1:3" x14ac:dyDescent="0.2">
      <c r="A40" t="s">
        <v>112</v>
      </c>
      <c r="B40" t="s">
        <v>113</v>
      </c>
      <c r="C40">
        <v>6</v>
      </c>
    </row>
    <row r="41" spans="1:3" x14ac:dyDescent="0.2">
      <c r="A41" t="s">
        <v>114</v>
      </c>
      <c r="B41" t="s">
        <v>115</v>
      </c>
      <c r="C41">
        <v>3</v>
      </c>
    </row>
    <row r="42" spans="1:3" x14ac:dyDescent="0.2">
      <c r="A42" t="s">
        <v>117</v>
      </c>
      <c r="B42" t="s">
        <v>118</v>
      </c>
      <c r="C42">
        <v>0</v>
      </c>
    </row>
    <row r="43" spans="1:3" x14ac:dyDescent="0.2">
      <c r="A43" t="s">
        <v>120</v>
      </c>
      <c r="B43" t="s">
        <v>121</v>
      </c>
      <c r="C43">
        <v>0</v>
      </c>
    </row>
    <row r="44" spans="1:3" x14ac:dyDescent="0.2">
      <c r="A44" t="s">
        <v>122</v>
      </c>
      <c r="B44" t="s">
        <v>123</v>
      </c>
      <c r="C44">
        <v>5</v>
      </c>
    </row>
    <row r="45" spans="1:3" x14ac:dyDescent="0.2">
      <c r="A45" t="s">
        <v>125</v>
      </c>
      <c r="B45" t="s">
        <v>126</v>
      </c>
      <c r="C45">
        <v>0</v>
      </c>
    </row>
    <row r="46" spans="1:3" x14ac:dyDescent="0.2">
      <c r="A46" t="s">
        <v>127</v>
      </c>
      <c r="B46" t="s">
        <v>128</v>
      </c>
      <c r="C46">
        <v>7</v>
      </c>
    </row>
    <row r="47" spans="1:3" x14ac:dyDescent="0.2">
      <c r="A47" t="s">
        <v>129</v>
      </c>
      <c r="B47" t="s">
        <v>130</v>
      </c>
      <c r="C47">
        <v>5</v>
      </c>
    </row>
    <row r="48" spans="1:3" x14ac:dyDescent="0.2">
      <c r="A48" t="s">
        <v>132</v>
      </c>
      <c r="B48" t="s">
        <v>133</v>
      </c>
      <c r="C48">
        <v>5</v>
      </c>
    </row>
    <row r="49" spans="1:3" x14ac:dyDescent="0.2">
      <c r="A49" t="s">
        <v>134</v>
      </c>
      <c r="B49" t="s">
        <v>135</v>
      </c>
      <c r="C49">
        <v>5</v>
      </c>
    </row>
    <row r="50" spans="1:3" x14ac:dyDescent="0.2">
      <c r="A50" t="s">
        <v>136</v>
      </c>
      <c r="B50" t="s">
        <v>137</v>
      </c>
      <c r="C50">
        <v>7</v>
      </c>
    </row>
    <row r="51" spans="1:3" x14ac:dyDescent="0.2">
      <c r="A51" t="s">
        <v>138</v>
      </c>
      <c r="B51" t="s">
        <v>139</v>
      </c>
      <c r="C5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32401-579C-8343-A24A-1DE6487716A2}">
  <dimension ref="A1:D51"/>
  <sheetViews>
    <sheetView workbookViewId="0">
      <selection activeCell="N4" sqref="N4"/>
    </sheetView>
  </sheetViews>
  <sheetFormatPr baseColWidth="10" defaultRowHeight="16" x14ac:dyDescent="0.2"/>
  <sheetData>
    <row r="1" spans="1:4" x14ac:dyDescent="0.2">
      <c r="A1" s="14" t="s">
        <v>0</v>
      </c>
      <c r="B1" s="14" t="s">
        <v>1</v>
      </c>
      <c r="C1" s="14" t="s">
        <v>19</v>
      </c>
      <c r="D1" s="14" t="s">
        <v>140</v>
      </c>
    </row>
    <row r="2" spans="1:4" ht="119" x14ac:dyDescent="0.2">
      <c r="A2" s="15" t="s">
        <v>20</v>
      </c>
      <c r="B2" s="16" t="s">
        <v>21</v>
      </c>
      <c r="C2" s="15">
        <v>7.6</v>
      </c>
      <c r="D2" s="15" t="s">
        <v>176</v>
      </c>
    </row>
    <row r="3" spans="1:4" ht="85" x14ac:dyDescent="0.2">
      <c r="A3" s="15" t="s">
        <v>23</v>
      </c>
      <c r="B3" s="16" t="s">
        <v>24</v>
      </c>
      <c r="C3" s="15">
        <v>0</v>
      </c>
      <c r="D3" s="15"/>
    </row>
    <row r="4" spans="1:4" ht="85" x14ac:dyDescent="0.2">
      <c r="A4" s="15" t="s">
        <v>26</v>
      </c>
      <c r="B4" s="16" t="s">
        <v>27</v>
      </c>
      <c r="C4" s="15">
        <v>7.5</v>
      </c>
      <c r="D4" s="15" t="s">
        <v>177</v>
      </c>
    </row>
    <row r="5" spans="1:4" ht="68" x14ac:dyDescent="0.2">
      <c r="A5" s="15" t="s">
        <v>28</v>
      </c>
      <c r="B5" s="16" t="s">
        <v>29</v>
      </c>
      <c r="C5" s="15">
        <v>5</v>
      </c>
      <c r="D5" s="15"/>
    </row>
    <row r="6" spans="1:4" ht="119" x14ac:dyDescent="0.2">
      <c r="A6" s="15" t="s">
        <v>31</v>
      </c>
      <c r="B6" s="16" t="s">
        <v>32</v>
      </c>
      <c r="C6" s="15">
        <v>1.2</v>
      </c>
      <c r="D6" s="15" t="s">
        <v>178</v>
      </c>
    </row>
    <row r="7" spans="1:4" ht="153" x14ac:dyDescent="0.2">
      <c r="A7" s="15" t="s">
        <v>33</v>
      </c>
      <c r="B7" s="16" t="s">
        <v>34</v>
      </c>
      <c r="C7" s="15">
        <v>7</v>
      </c>
      <c r="D7" s="15" t="s">
        <v>179</v>
      </c>
    </row>
    <row r="8" spans="1:4" ht="85" x14ac:dyDescent="0.2">
      <c r="A8" s="15" t="s">
        <v>36</v>
      </c>
      <c r="B8" s="16" t="s">
        <v>37</v>
      </c>
      <c r="C8" s="15" t="s">
        <v>180</v>
      </c>
      <c r="D8" s="15" t="s">
        <v>181</v>
      </c>
    </row>
    <row r="9" spans="1:4" ht="136" x14ac:dyDescent="0.2">
      <c r="A9" s="15" t="s">
        <v>38</v>
      </c>
      <c r="B9" s="16" t="s">
        <v>39</v>
      </c>
      <c r="C9" s="15">
        <v>6</v>
      </c>
      <c r="D9" s="15"/>
    </row>
    <row r="10" spans="1:4" ht="85" x14ac:dyDescent="0.2">
      <c r="A10" s="15" t="s">
        <v>41</v>
      </c>
      <c r="B10" s="16" t="s">
        <v>42</v>
      </c>
      <c r="C10" s="15">
        <v>4</v>
      </c>
      <c r="D10" s="15" t="s">
        <v>182</v>
      </c>
    </row>
    <row r="11" spans="1:4" ht="153" x14ac:dyDescent="0.2">
      <c r="A11" s="15" t="s">
        <v>43</v>
      </c>
      <c r="B11" s="16" t="s">
        <v>44</v>
      </c>
      <c r="C11" s="15">
        <v>5</v>
      </c>
      <c r="D11" s="15" t="s">
        <v>183</v>
      </c>
    </row>
    <row r="12" spans="1:4" ht="85" x14ac:dyDescent="0.2">
      <c r="A12" s="15" t="s">
        <v>45</v>
      </c>
      <c r="B12" s="16" t="s">
        <v>46</v>
      </c>
      <c r="C12" s="15">
        <v>5</v>
      </c>
      <c r="D12" s="15"/>
    </row>
    <row r="13" spans="1:4" ht="102" x14ac:dyDescent="0.2">
      <c r="A13" s="15" t="s">
        <v>47</v>
      </c>
      <c r="B13" s="16" t="s">
        <v>48</v>
      </c>
      <c r="C13" s="15">
        <v>2</v>
      </c>
      <c r="D13" s="15"/>
    </row>
    <row r="14" spans="1:4" ht="119" x14ac:dyDescent="0.2">
      <c r="A14" s="15" t="s">
        <v>50</v>
      </c>
      <c r="B14" s="16" t="s">
        <v>51</v>
      </c>
      <c r="C14" s="15">
        <v>0</v>
      </c>
      <c r="D14" s="15" t="s">
        <v>184</v>
      </c>
    </row>
    <row r="15" spans="1:4" ht="102" x14ac:dyDescent="0.2">
      <c r="A15" s="15" t="s">
        <v>52</v>
      </c>
      <c r="B15" s="16" t="s">
        <v>53</v>
      </c>
      <c r="C15" s="15">
        <v>0</v>
      </c>
      <c r="D15" s="15" t="s">
        <v>185</v>
      </c>
    </row>
    <row r="16" spans="1:4" ht="85" x14ac:dyDescent="0.2">
      <c r="A16" s="15" t="s">
        <v>54</v>
      </c>
      <c r="B16" s="16" t="s">
        <v>55</v>
      </c>
      <c r="C16" s="15">
        <v>0</v>
      </c>
      <c r="D16" s="15" t="s">
        <v>186</v>
      </c>
    </row>
    <row r="17" spans="1:4" ht="119" x14ac:dyDescent="0.2">
      <c r="A17" s="15" t="s">
        <v>56</v>
      </c>
      <c r="B17" s="16" t="s">
        <v>57</v>
      </c>
      <c r="C17" s="15">
        <v>0</v>
      </c>
      <c r="D17" s="15" t="s">
        <v>187</v>
      </c>
    </row>
    <row r="18" spans="1:4" ht="85" x14ac:dyDescent="0.2">
      <c r="A18" s="15" t="s">
        <v>59</v>
      </c>
      <c r="B18" s="16" t="s">
        <v>60</v>
      </c>
      <c r="C18" s="15">
        <v>0</v>
      </c>
      <c r="D18" s="15" t="s">
        <v>188</v>
      </c>
    </row>
    <row r="19" spans="1:4" ht="68" x14ac:dyDescent="0.2">
      <c r="A19" s="15" t="s">
        <v>61</v>
      </c>
      <c r="B19" s="16" t="s">
        <v>62</v>
      </c>
      <c r="C19" s="15">
        <v>6</v>
      </c>
      <c r="D19" s="15" t="s">
        <v>189</v>
      </c>
    </row>
    <row r="20" spans="1:4" ht="85" x14ac:dyDescent="0.2">
      <c r="A20" s="15" t="s">
        <v>63</v>
      </c>
      <c r="B20" s="16" t="s">
        <v>64</v>
      </c>
      <c r="C20" s="15">
        <v>2</v>
      </c>
      <c r="D20" s="15"/>
    </row>
    <row r="21" spans="1:4" ht="102" x14ac:dyDescent="0.2">
      <c r="A21" s="15" t="s">
        <v>66</v>
      </c>
      <c r="B21" s="16" t="s">
        <v>67</v>
      </c>
      <c r="C21" s="15">
        <v>7</v>
      </c>
      <c r="D21" s="15" t="s">
        <v>190</v>
      </c>
    </row>
    <row r="22" spans="1:4" ht="85" x14ac:dyDescent="0.2">
      <c r="A22" s="15" t="s">
        <v>68</v>
      </c>
      <c r="B22" s="16" t="s">
        <v>69</v>
      </c>
      <c r="C22" s="15">
        <v>5.6</v>
      </c>
      <c r="D22" s="15" t="s">
        <v>191</v>
      </c>
    </row>
    <row r="23" spans="1:4" ht="85" x14ac:dyDescent="0.2">
      <c r="A23" s="15" t="s">
        <v>70</v>
      </c>
      <c r="B23" s="16" t="s">
        <v>71</v>
      </c>
      <c r="C23" s="15">
        <v>8</v>
      </c>
      <c r="D23" s="15" t="s">
        <v>192</v>
      </c>
    </row>
    <row r="24" spans="1:4" ht="68" x14ac:dyDescent="0.2">
      <c r="A24" s="15" t="s">
        <v>73</v>
      </c>
      <c r="B24" s="16" t="s">
        <v>74</v>
      </c>
      <c r="C24" s="15">
        <v>8</v>
      </c>
      <c r="D24" s="15" t="s">
        <v>192</v>
      </c>
    </row>
    <row r="25" spans="1:4" ht="85" x14ac:dyDescent="0.2">
      <c r="A25" s="15" t="s">
        <v>75</v>
      </c>
      <c r="B25" s="16" t="s">
        <v>76</v>
      </c>
      <c r="C25" s="15">
        <v>5</v>
      </c>
      <c r="D25" s="15" t="s">
        <v>193</v>
      </c>
    </row>
    <row r="26" spans="1:4" ht="85" x14ac:dyDescent="0.2">
      <c r="A26" s="15" t="s">
        <v>77</v>
      </c>
      <c r="B26" s="16" t="s">
        <v>78</v>
      </c>
      <c r="C26" s="15">
        <v>7.6</v>
      </c>
      <c r="D26" s="15"/>
    </row>
    <row r="27" spans="1:4" ht="85" x14ac:dyDescent="0.2">
      <c r="A27" s="15" t="s">
        <v>80</v>
      </c>
      <c r="B27" s="16" t="s">
        <v>81</v>
      </c>
      <c r="C27" s="15">
        <v>1</v>
      </c>
      <c r="D27" s="15"/>
    </row>
    <row r="28" spans="1:4" ht="102" x14ac:dyDescent="0.2">
      <c r="A28" s="15" t="s">
        <v>83</v>
      </c>
      <c r="B28" s="16" t="s">
        <v>84</v>
      </c>
      <c r="C28" s="15">
        <v>2.5</v>
      </c>
      <c r="D28" s="15"/>
    </row>
    <row r="29" spans="1:4" ht="85" x14ac:dyDescent="0.2">
      <c r="A29" s="15" t="s">
        <v>86</v>
      </c>
      <c r="B29" s="16" t="s">
        <v>87</v>
      </c>
      <c r="C29" s="15">
        <v>7</v>
      </c>
      <c r="D29" s="15"/>
    </row>
    <row r="30" spans="1:4" ht="85" x14ac:dyDescent="0.2">
      <c r="A30" s="15" t="s">
        <v>88</v>
      </c>
      <c r="B30" s="16" t="s">
        <v>89</v>
      </c>
      <c r="C30" s="15">
        <v>7</v>
      </c>
      <c r="D30" s="15" t="s">
        <v>194</v>
      </c>
    </row>
    <row r="31" spans="1:4" ht="85" x14ac:dyDescent="0.2">
      <c r="A31" s="15" t="s">
        <v>90</v>
      </c>
      <c r="B31" s="16" t="s">
        <v>91</v>
      </c>
      <c r="C31" s="15">
        <v>1</v>
      </c>
      <c r="D31" s="15" t="s">
        <v>195</v>
      </c>
    </row>
    <row r="32" spans="1:4" ht="119" x14ac:dyDescent="0.2">
      <c r="A32" s="15" t="s">
        <v>93</v>
      </c>
      <c r="B32" s="16" t="s">
        <v>94</v>
      </c>
      <c r="C32" s="15">
        <v>5</v>
      </c>
      <c r="D32" s="15"/>
    </row>
    <row r="33" spans="1:4" ht="51" x14ac:dyDescent="0.2">
      <c r="A33" s="15" t="s">
        <v>95</v>
      </c>
      <c r="B33" s="16" t="s">
        <v>96</v>
      </c>
      <c r="C33" s="15">
        <v>7</v>
      </c>
      <c r="D33" s="15" t="s">
        <v>196</v>
      </c>
    </row>
    <row r="34" spans="1:4" ht="119" x14ac:dyDescent="0.2">
      <c r="A34" s="15" t="s">
        <v>97</v>
      </c>
      <c r="B34" s="16" t="s">
        <v>98</v>
      </c>
      <c r="C34" s="15">
        <v>0</v>
      </c>
      <c r="D34" s="15" t="s">
        <v>197</v>
      </c>
    </row>
    <row r="35" spans="1:4" ht="102" x14ac:dyDescent="0.2">
      <c r="A35" s="15" t="s">
        <v>99</v>
      </c>
      <c r="B35" s="16" t="s">
        <v>100</v>
      </c>
      <c r="C35" s="15">
        <v>1</v>
      </c>
      <c r="D35" s="15" t="s">
        <v>198</v>
      </c>
    </row>
    <row r="36" spans="1:4" ht="85" x14ac:dyDescent="0.2">
      <c r="A36" s="15" t="s">
        <v>102</v>
      </c>
      <c r="B36" s="16" t="s">
        <v>103</v>
      </c>
      <c r="C36" s="15">
        <v>4</v>
      </c>
      <c r="D36" s="15"/>
    </row>
    <row r="37" spans="1:4" ht="85" x14ac:dyDescent="0.2">
      <c r="A37" s="15" t="s">
        <v>104</v>
      </c>
      <c r="B37" s="16" t="s">
        <v>105</v>
      </c>
      <c r="C37" s="15">
        <v>7</v>
      </c>
      <c r="D37" s="15"/>
    </row>
    <row r="38" spans="1:4" ht="85" x14ac:dyDescent="0.2">
      <c r="A38" s="15" t="s">
        <v>106</v>
      </c>
      <c r="B38" s="16" t="s">
        <v>107</v>
      </c>
      <c r="C38" s="15">
        <v>4</v>
      </c>
      <c r="D38" s="15" t="s">
        <v>199</v>
      </c>
    </row>
    <row r="39" spans="1:4" ht="119" x14ac:dyDescent="0.2">
      <c r="A39" s="15" t="s">
        <v>109</v>
      </c>
      <c r="B39" s="16" t="s">
        <v>110</v>
      </c>
      <c r="C39" s="15">
        <v>6</v>
      </c>
      <c r="D39" s="15"/>
    </row>
    <row r="40" spans="1:4" ht="85" x14ac:dyDescent="0.2">
      <c r="A40" s="15" t="s">
        <v>112</v>
      </c>
      <c r="B40" s="16" t="s">
        <v>113</v>
      </c>
      <c r="C40" s="15">
        <v>6.7</v>
      </c>
      <c r="D40" s="15"/>
    </row>
    <row r="41" spans="1:4" ht="85" x14ac:dyDescent="0.2">
      <c r="A41" s="15" t="s">
        <v>114</v>
      </c>
      <c r="B41" s="16" t="s">
        <v>115</v>
      </c>
      <c r="C41" s="15">
        <v>3</v>
      </c>
      <c r="D41" s="15"/>
    </row>
    <row r="42" spans="1:4" ht="119" x14ac:dyDescent="0.2">
      <c r="A42" s="15" t="s">
        <v>117</v>
      </c>
      <c r="B42" s="16" t="s">
        <v>118</v>
      </c>
      <c r="C42" s="15" t="s">
        <v>200</v>
      </c>
      <c r="D42" s="15"/>
    </row>
    <row r="43" spans="1:4" ht="51" x14ac:dyDescent="0.2">
      <c r="A43" s="15" t="s">
        <v>120</v>
      </c>
      <c r="B43" s="16" t="s">
        <v>121</v>
      </c>
      <c r="C43" s="15" t="s">
        <v>201</v>
      </c>
      <c r="D43" s="15" t="s">
        <v>202</v>
      </c>
    </row>
    <row r="44" spans="1:4" ht="119" x14ac:dyDescent="0.2">
      <c r="A44" s="15" t="s">
        <v>122</v>
      </c>
      <c r="B44" s="16" t="s">
        <v>123</v>
      </c>
      <c r="C44" s="15" t="s">
        <v>203</v>
      </c>
      <c r="D44" s="15"/>
    </row>
    <row r="45" spans="1:4" ht="85" x14ac:dyDescent="0.2">
      <c r="A45" s="15" t="s">
        <v>125</v>
      </c>
      <c r="B45" s="16" t="s">
        <v>126</v>
      </c>
      <c r="C45" s="15">
        <v>0</v>
      </c>
      <c r="D45" s="15" t="s">
        <v>204</v>
      </c>
    </row>
    <row r="46" spans="1:4" ht="85" x14ac:dyDescent="0.2">
      <c r="A46" s="15" t="s">
        <v>127</v>
      </c>
      <c r="B46" s="16" t="s">
        <v>128</v>
      </c>
      <c r="C46" s="15">
        <v>7</v>
      </c>
      <c r="D46" s="15" t="s">
        <v>205</v>
      </c>
    </row>
    <row r="47" spans="1:4" ht="102" x14ac:dyDescent="0.2">
      <c r="A47" s="15" t="s">
        <v>129</v>
      </c>
      <c r="B47" s="16" t="s">
        <v>130</v>
      </c>
      <c r="C47" s="15">
        <v>7</v>
      </c>
      <c r="D47" s="15" t="s">
        <v>206</v>
      </c>
    </row>
    <row r="48" spans="1:4" ht="85" x14ac:dyDescent="0.2">
      <c r="A48" s="15" t="s">
        <v>132</v>
      </c>
      <c r="B48" s="16" t="s">
        <v>133</v>
      </c>
      <c r="C48" s="15">
        <v>7</v>
      </c>
      <c r="D48" s="15" t="s">
        <v>207</v>
      </c>
    </row>
    <row r="49" spans="1:4" ht="68" x14ac:dyDescent="0.2">
      <c r="A49" s="15" t="s">
        <v>134</v>
      </c>
      <c r="B49" s="16" t="s">
        <v>135</v>
      </c>
      <c r="C49" s="15">
        <v>0</v>
      </c>
      <c r="D49" s="15" t="s">
        <v>208</v>
      </c>
    </row>
    <row r="50" spans="1:4" ht="119" x14ac:dyDescent="0.2">
      <c r="A50" s="15" t="s">
        <v>136</v>
      </c>
      <c r="B50" s="16" t="s">
        <v>137</v>
      </c>
      <c r="C50" s="15">
        <v>7</v>
      </c>
      <c r="D50" s="15" t="s">
        <v>209</v>
      </c>
    </row>
    <row r="51" spans="1:4" ht="102" x14ac:dyDescent="0.2">
      <c r="A51" s="15" t="s">
        <v>138</v>
      </c>
      <c r="B51" s="16" t="s">
        <v>139</v>
      </c>
      <c r="C51" s="15">
        <v>0</v>
      </c>
      <c r="D51" s="15" t="s">
        <v>210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65715-E0B4-9546-931F-5626D59716B9}">
  <dimension ref="A1:G34"/>
  <sheetViews>
    <sheetView workbookViewId="0">
      <selection activeCell="M16" sqref="M16"/>
    </sheetView>
  </sheetViews>
  <sheetFormatPr baseColWidth="10" defaultRowHeight="16" x14ac:dyDescent="0.2"/>
  <sheetData>
    <row r="1" spans="1:7" ht="22" x14ac:dyDescent="0.3">
      <c r="A1" s="18" t="s">
        <v>292</v>
      </c>
      <c r="B1" s="18" t="s">
        <v>297</v>
      </c>
      <c r="C1" s="18" t="s">
        <v>302</v>
      </c>
      <c r="D1" s="18" t="s">
        <v>307</v>
      </c>
      <c r="E1" s="18" t="s">
        <v>312</v>
      </c>
      <c r="F1" s="18" t="s">
        <v>317</v>
      </c>
      <c r="G1" s="18" t="s">
        <v>322</v>
      </c>
    </row>
    <row r="2" spans="1:7" ht="22" x14ac:dyDescent="0.3">
      <c r="A2" s="18" t="s">
        <v>293</v>
      </c>
      <c r="B2" s="18" t="s">
        <v>298</v>
      </c>
      <c r="C2" s="18" t="s">
        <v>303</v>
      </c>
      <c r="D2" s="18" t="s">
        <v>308</v>
      </c>
      <c r="E2" s="18" t="s">
        <v>313</v>
      </c>
      <c r="F2" s="18" t="s">
        <v>318</v>
      </c>
      <c r="G2" s="18" t="s">
        <v>323</v>
      </c>
    </row>
    <row r="3" spans="1:7" ht="22" x14ac:dyDescent="0.3">
      <c r="A3" s="18" t="s">
        <v>294</v>
      </c>
      <c r="B3" s="18" t="s">
        <v>299</v>
      </c>
      <c r="C3" s="18" t="s">
        <v>304</v>
      </c>
      <c r="D3" s="18" t="s">
        <v>309</v>
      </c>
      <c r="E3" s="18" t="s">
        <v>314</v>
      </c>
      <c r="F3" s="18" t="s">
        <v>319</v>
      </c>
      <c r="G3" s="18" t="s">
        <v>324</v>
      </c>
    </row>
    <row r="4" spans="1:7" ht="22" x14ac:dyDescent="0.3">
      <c r="A4" s="18" t="s">
        <v>295</v>
      </c>
      <c r="B4" s="18" t="s">
        <v>300</v>
      </c>
      <c r="C4" s="18" t="s">
        <v>305</v>
      </c>
      <c r="D4" s="18" t="s">
        <v>310</v>
      </c>
      <c r="E4" s="18" t="s">
        <v>315</v>
      </c>
      <c r="F4" s="18" t="s">
        <v>320</v>
      </c>
      <c r="G4" s="18" t="s">
        <v>325</v>
      </c>
    </row>
    <row r="5" spans="1:7" ht="22" x14ac:dyDescent="0.3">
      <c r="A5" s="18" t="s">
        <v>296</v>
      </c>
      <c r="B5" s="18" t="s">
        <v>301</v>
      </c>
      <c r="C5" s="18" t="s">
        <v>306</v>
      </c>
      <c r="D5" s="18" t="s">
        <v>311</v>
      </c>
      <c r="E5" s="18" t="s">
        <v>316</v>
      </c>
      <c r="F5" s="18" t="s">
        <v>321</v>
      </c>
      <c r="G5" s="18" t="s">
        <v>326</v>
      </c>
    </row>
    <row r="12" spans="1:7" x14ac:dyDescent="0.2">
      <c r="A12" s="21" t="s">
        <v>423</v>
      </c>
    </row>
    <row r="18" spans="1:3" x14ac:dyDescent="0.2">
      <c r="B18" t="str">
        <f>_xlfn.TEXTJOIN(";", TRUE,  _xlfn.VSTACK(A1:A5,  B1:B5,  C1:C5,  D1:D5,  E1:E5,  F1:F5, G1:G5))</f>
        <v>ABC;DEF;GHI;JKL;MNO;ADG;BEH;CJM;FKN;ILO;AEO;BIJ;CDN;FHL;GKM;AIM;BDL;CEK;FGO;HJN;AFJ;BKO;CGL;DHM;EIN;AHK;BGN;CFI;DJO;ELM;ALN;BFM;CHO;DIK;EGJ</v>
      </c>
    </row>
    <row r="19" spans="1:3" x14ac:dyDescent="0.2">
      <c r="A19" t="s">
        <v>349</v>
      </c>
      <c r="B19" t="s">
        <v>350</v>
      </c>
      <c r="C19" t="s">
        <v>351</v>
      </c>
    </row>
    <row r="20" spans="1:3" x14ac:dyDescent="0.2">
      <c r="A20" t="s">
        <v>334</v>
      </c>
      <c r="B20" t="s">
        <v>122</v>
      </c>
      <c r="C20" t="s">
        <v>123</v>
      </c>
    </row>
    <row r="21" spans="1:3" x14ac:dyDescent="0.2">
      <c r="A21" t="s">
        <v>335</v>
      </c>
      <c r="B21" t="s">
        <v>68</v>
      </c>
      <c r="C21" t="s">
        <v>69</v>
      </c>
    </row>
    <row r="22" spans="1:3" x14ac:dyDescent="0.2">
      <c r="A22" t="s">
        <v>336</v>
      </c>
      <c r="B22" t="s">
        <v>114</v>
      </c>
      <c r="C22" t="s">
        <v>115</v>
      </c>
    </row>
    <row r="23" spans="1:3" x14ac:dyDescent="0.2">
      <c r="A23" t="s">
        <v>337</v>
      </c>
      <c r="B23" t="s">
        <v>99</v>
      </c>
      <c r="C23" t="s">
        <v>100</v>
      </c>
    </row>
    <row r="24" spans="1:3" x14ac:dyDescent="0.2">
      <c r="A24" t="s">
        <v>338</v>
      </c>
      <c r="B24" t="s">
        <v>45</v>
      </c>
      <c r="C24" t="s">
        <v>46</v>
      </c>
    </row>
    <row r="25" spans="1:3" x14ac:dyDescent="0.2">
      <c r="A25" t="s">
        <v>339</v>
      </c>
      <c r="B25" t="s">
        <v>26</v>
      </c>
      <c r="C25" t="s">
        <v>27</v>
      </c>
    </row>
    <row r="26" spans="1:3" x14ac:dyDescent="0.2">
      <c r="A26" t="s">
        <v>340</v>
      </c>
      <c r="B26" t="s">
        <v>134</v>
      </c>
      <c r="C26" t="s">
        <v>135</v>
      </c>
    </row>
    <row r="27" spans="1:3" x14ac:dyDescent="0.2">
      <c r="A27" t="s">
        <v>341</v>
      </c>
      <c r="B27" t="s">
        <v>61</v>
      </c>
      <c r="C27" t="s">
        <v>62</v>
      </c>
    </row>
    <row r="28" spans="1:3" x14ac:dyDescent="0.2">
      <c r="A28" t="s">
        <v>342</v>
      </c>
      <c r="B28" t="s">
        <v>52</v>
      </c>
      <c r="C28" t="s">
        <v>53</v>
      </c>
    </row>
    <row r="29" spans="1:3" x14ac:dyDescent="0.2">
      <c r="A29" t="s">
        <v>343</v>
      </c>
      <c r="B29" t="s">
        <v>36</v>
      </c>
      <c r="C29" t="s">
        <v>37</v>
      </c>
    </row>
    <row r="30" spans="1:3" x14ac:dyDescent="0.2">
      <c r="A30" t="s">
        <v>344</v>
      </c>
      <c r="B30" t="s">
        <v>106</v>
      </c>
      <c r="C30" t="s">
        <v>107</v>
      </c>
    </row>
    <row r="31" spans="1:3" x14ac:dyDescent="0.2">
      <c r="A31" t="s">
        <v>345</v>
      </c>
      <c r="B31" t="s">
        <v>33</v>
      </c>
      <c r="C31" t="s">
        <v>34</v>
      </c>
    </row>
    <row r="32" spans="1:3" x14ac:dyDescent="0.2">
      <c r="A32" t="s">
        <v>346</v>
      </c>
      <c r="B32" t="s">
        <v>56</v>
      </c>
      <c r="C32" t="s">
        <v>57</v>
      </c>
    </row>
    <row r="33" spans="1:3" x14ac:dyDescent="0.2">
      <c r="A33" t="s">
        <v>347</v>
      </c>
      <c r="B33" t="s">
        <v>80</v>
      </c>
      <c r="C33" t="s">
        <v>81</v>
      </c>
    </row>
    <row r="34" spans="1:3" x14ac:dyDescent="0.2">
      <c r="A34" t="s">
        <v>348</v>
      </c>
      <c r="B34" t="s">
        <v>95</v>
      </c>
      <c r="C34" t="s">
        <v>96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KD Mappings</vt:lpstr>
      <vt:lpstr>Picture</vt:lpstr>
      <vt:lpstr>Sara Mappings</vt:lpstr>
      <vt:lpstr>Info</vt:lpstr>
      <vt:lpstr>SSGDD study</vt:lpstr>
      <vt:lpstr>KA Essentials</vt:lpstr>
      <vt:lpstr>Valtteri Mappings</vt:lpstr>
      <vt:lpstr>Paul Mappings</vt:lpstr>
      <vt:lpstr>Girls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Kähkönen, Harri J</dc:creator>
  <cp:lastModifiedBy>Kähkönen, Harri J</cp:lastModifiedBy>
  <dcterms:created xsi:type="dcterms:W3CDTF">2025-04-09T07:22:48Z</dcterms:created>
  <dcterms:modified xsi:type="dcterms:W3CDTF">2025-06-17T14:12:51Z</dcterms:modified>
</cp:coreProperties>
</file>